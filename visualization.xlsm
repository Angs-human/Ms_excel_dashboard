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h\Documents\"/>
    </mc:Choice>
  </mc:AlternateContent>
  <bookViews>
    <workbookView xWindow="0" yWindow="0" windowWidth="23040" windowHeight="9264" activeTab="1"/>
  </bookViews>
  <sheets>
    <sheet name="Analyze" sheetId="2" r:id="rId1"/>
    <sheet name="Dashboard" sheetId="3" r:id="rId2"/>
    <sheet name="Sheet1" sheetId="1" r:id="rId3"/>
  </sheets>
  <definedNames>
    <definedName name="NativeTimeline_Order_Date">#N/A</definedName>
    <definedName name="Slicer_State">#N/A</definedName>
  </definedNames>
  <calcPr calcId="152511"/>
  <pivotCaches>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
      </x15:timelineCacheRefs>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<sst xmlns="http://schemas.openxmlformats.org/spreadsheetml/2006/main" count="2026" uniqueCount="625">
  <si>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</si>
  <si>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</si>
  <si>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</si>
  <si>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</si>
  <si>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</si>
  <si>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</si>
  <si>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</si>
  <si>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</si>
  <si>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</si>
  <si>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</si>
  <si>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</si>
  <si>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</si>
  <si>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</si>
  <si>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</si>
  <si>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</si>
  <si>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</si>
  <si>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</si>
  <si>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</si>
  <si>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</si>
  <si>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</si>
  <si>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</si>
  <si>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</si>
  <si>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</si>
  <si>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</si>
  <si>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</si>
  <si>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</si>
  <si>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</si>
  <si>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</si>
  <si>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</si>
  <si>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</si>
  <si>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</si>
  <si>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</si>
  <si>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</si>
  <si>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</si>
  <si>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</si>
  <si>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</si>
  <si>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</si>
  <si>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</si>
  <si>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</si>
  <si>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</si>
  <si>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</si>
  <si>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</si>
  <si>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</si>
  <si>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</si>
  <si>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</si>
  <si>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</si>
  <si>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</si>
  <si>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</si>
  <si>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</si>
  <si>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</si>
  <si>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</si>
  <si>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</si>
  <si>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</si>
  <si>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</si>
  <si>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</si>
  <si>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</si>
  <si>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</si>
  <si>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</si>
  <si>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</si>
  <si>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</si>
  <si>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</si>
  <si>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</si>
  <si>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</si>
  <si>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</si>
  <si>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</si>
  <si>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</si>
  <si>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</si>
  <si>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</si>
  <si>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</si>
  <si>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</si>
  <si>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</si>
  <si>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</si>
  <si>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</si>
  <si>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</si>
  <si>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</si>
  <si>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</si>
  <si>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</si>
  <si>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</si>
  <si>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</si>
  <si>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</si>
  <si>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</si>
  <si>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</si>
  <si>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</si>
  <si>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</si>
  <si>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</si>
  <si>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</si>
  <si>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</si>
  <si>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</si>
  <si>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</si>
  <si>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</si>
  <si>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</si>
  <si>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</si>
  <si>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</si>
  <si>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</si>
  <si>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</si>
  <si>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</si>
  <si>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</si>
  <si>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</si>
  <si>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</si>
  <si>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</si>
  <si>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</si>
  <si>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</si>
  <si>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</si>
  <si>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</si>
  <si>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</si>
  <si>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</si>
  <si>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</si>
  <si>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</si>
  <si>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</si>
  <si>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</si>
  <si>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</si>
  <si>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</si>
  <si>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</si>
  <si>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</si>
  <si>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</si>
  <si>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</si>
  <si>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</si>
  <si>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</si>
  <si>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</si>
  <si>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</si>
  <si>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</si>
  <si>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</si>
  <si>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</si>
  <si>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</si>
  <si>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</si>
  <si>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</si>
  <si>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</si>
  <si>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</si>
  <si>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</si>
  <si>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</si>
  <si>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</si>
  <si>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</si>
  <si>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</si>
  <si>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</si>
  <si>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</si>
  <si>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</si>
  <si>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</si>
  <si>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</si>
  <si>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</si>
  <si>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</si>
  <si>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</si>
  <si>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</si>
  <si>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</si>
  <si>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</si>
  <si>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</si>
  <si>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</si>
  <si>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</si>
  <si>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</si>
  <si>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</si>
  <si>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</si>
  <si>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</si>
  <si>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</si>
  <si>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</si>
  <si>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</si>
  <si>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</si>
  <si>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</si>
  <si>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</si>
  <si>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</si>
  <si>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</si>
  <si>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</si>
  <si>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</si>
  <si>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</si>
  <si>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</si>
  <si>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</si>
  <si>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</si>
  <si>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</si>
  <si>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</si>
  <si>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</si>
  <si>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</si>
  <si>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</si>
  <si>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</si>
  <si>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</si>
  <si>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</si>
  <si>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</si>
  <si>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</si>
  <si>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</si>
  <si>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</si>
  <si>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</si>
  <si>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</si>
  <si>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</si>
  <si>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</si>
  <si>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</si>
  <si>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</si>
  <si>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</si>
  <si>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</si>
  <si>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</si>
  <si>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</si>
  <si>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</si>
  <si>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</si>
  <si>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</si>
  <si>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</si>
  <si>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</si>
  <si>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</si>
  <si>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</si>
  <si>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</si>
  <si>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</si>
  <si>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</si>
  <si>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</si>
  <si>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</si>
  <si>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</si>
  <si>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</si>
  <si>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</si>
  <si>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</si>
  <si>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</si>
  <si>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</si>
  <si>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</si>
  <si>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</si>
  <si>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</si>
  <si>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</si>
  <si>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</si>
  <si>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</si>
  <si>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</si>
  <si>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</si>
  <si>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</si>
  <si>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</si>
  <si>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</si>
  <si>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</si>
  <si>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</si>
  <si>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</si>
  <si>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</si>
  <si>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</si>
  <si>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</si>
  <si>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</si>
  <si>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</si>
  <si>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</si>
  <si>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</si>
  <si>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</si>
  <si>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</si>
  <si>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</si>
  <si>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</si>
  <si>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</si>
  <si>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</si>
  <si>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</si>
  <si>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</si>
  <si>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</si>
  <si>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</si>
  <si>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</si>
  <si>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</si>
  <si>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</si>
  <si>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</si>
  <si>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</si>
  <si>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</si>
  <si>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</si>
  <si>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</si>
  <si>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</si>
  <si>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</si>
  <si>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</si>
  <si>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</si>
  <si>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</si>
  <si>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</si>
  <si>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</si>
  <si>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</si>
  <si>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</si>
  <si>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</si>
  <si>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</si>
  <si>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</si>
  <si>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</si>
  <si>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</si>
  <si>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</si>
  <si>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</si>
  <si>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</si>
  <si>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</si>
  <si>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</si>
  <si>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</si>
  <si>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</si>
  <si>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</si>
  <si>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</si>
  <si>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</si>
  <si>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</si>
  <si>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</si>
  <si>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</si>
  <si>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</si>
  <si>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</si>
  <si>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</si>
  <si>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</si>
  <si>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</si>
  <si>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</si>
  <si>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</si>
  <si>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</si>
  <si>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</si>
  <si>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</si>
  <si>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</si>
  <si>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</si>
  <si>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</si>
  <si>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</si>
  <si>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</si>
  <si>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</si>
  <si>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</si>
  <si>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</si>
  <si>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</si>
  <si>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</si>
  <si>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</si>
  <si>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</si>
  <si>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</si>
  <si>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</si>
  <si>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</si>
  <si>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</si>
  <si>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</si>
  <si>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</si>
  <si>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</si>
  <si>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</si>
  <si>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</si>
  <si>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</si>
  <si>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</si>
  <si>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</si>
  <si>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</si>
  <si>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</si>
  <si>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</si>
  <si>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</si>
  <si>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</si>
  <si>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</si>
  <si>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</si>
  <si>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</si>
  <si>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</si>
  <si>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</si>
  <si>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</si>
  <si>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</si>
  <si>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</si>
  <si>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</si>
  <si>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</si>
  <si>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</si>
  <si>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</si>
  <si>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</si>
  <si>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</si>
  <si>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</si>
  <si>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</si>
  <si>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</si>
  <si>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</si>
  <si>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</si>
  <si>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</si>
  <si>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</si>
  <si>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</si>
  <si>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</si>
  <si>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</si>
  <si>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</si>
  <si>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</si>
  <si>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</si>
  <si>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</si>
  <si>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</si>
  <si>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</si>
  <si>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</si>
  <si>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</si>
  <si>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</si>
  <si>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</si>
  <si>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</si>
  <si>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</si>
  <si>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</si>
  <si>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</si>
  <si>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</si>
  <si>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</si>
  <si>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</si>
  <si>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</si>
  <si>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</si>
  <si>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</si>
  <si>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</si>
  <si>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</si>
  <si>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</si>
  <si>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</si>
  <si>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</si>
  <si>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</si>
  <si>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</si>
  <si>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</si>
  <si>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</si>
  <si>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</si>
  <si>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</si>
  <si>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</si>
  <si>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</si>
  <si>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</si>
  <si>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</si>
  <si>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</si>
  <si>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</si>
  <si>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</si>
  <si>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</si>
  <si>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</si>
  <si>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</si>
  <si>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</si>
  <si>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</si>
  <si>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</si>
  <si>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</si>
  <si>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</si>
  <si>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</si>
  <si>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</si>
  <si>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</si>
  <si>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</si>
  <si>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</si>
  <si>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</si>
  <si>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</si>
  <si>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</si>
  <si>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</si>
  <si>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</si>
  <si>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</si>
  <si>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</si>
  <si>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</si>
  <si>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</si>
  <si>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</si>
  <si>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</si>
  <si>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</si>
  <si>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</si>
  <si>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</si>
  <si>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</si>
  <si>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</si>
  <si>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</si>
  <si>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</si>
  <si>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</si>
  <si>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</si>
  <si>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</si>
  <si>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</si>
  <si>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</si>
  <si>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</si>
  <si>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</si>
  <si>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</si>
  <si>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</si>
  <si>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</si>
  <si>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</si>
  <si>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</si>
  <si>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</si>
  <si>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</si>
  <si>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</si>
  <si>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</si>
  <si>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</si>
  <si>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</si>
  <si>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</si>
  <si>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</si>
  <si>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</si>
  <si>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</si>
  <si>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</si>
  <si>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</si>
  <si>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</si>
  <si>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</si>
  <si>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</si>
  <si>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</si>
  <si>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</si>
  <si>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</si>
  <si>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</si>
  <si>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</si>
  <si>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</si>
  <si>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</si>
  <si>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</si>
  <si>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</si>
  <si>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</si>
  <si>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</si>
  <si>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</si>
  <si>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</si>
  <si>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</si>
  <si>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</si>
  <si>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</si>
  <si>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</si>
  <si>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</si>
  <si>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</si>
  <si>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</si>
  <si>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</si>
  <si>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</si>
  <si>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</si>
  <si>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</si>
  <si>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</si>
  <si>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</si>
  <si>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</si>
  <si>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</si>
  <si>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</si>
  <si>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</si>
  <si>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</si>
  <si>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</si>
  <si>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</si>
  <si>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</si>
  <si>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</si>
  <si>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</si>
  <si>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</si>
  <si>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</si>
  <si>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</si>
  <si>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</si>
  <si>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</si>
  <si>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</si>
  <si>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</si>
  <si>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</si>
  <si>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</si>
  <si>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</si>
  <si>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</si>
  <si>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</si>
  <si>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</si>
  <si>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</si>
  <si>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</si>
  <si>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</si>
  <si>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</si>
  <si>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</si>
  <si>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</si>
  <si>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</si>
  <si>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</si>
  <si>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</si>
  <si>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</si>
  <si>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</si>
  <si>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</si>
  <si>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</si>
  <si>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</si>
  <si>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</si>
  <si>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</si>
  <si>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</si>
  <si>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</si>
  <si>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</si>
  <si>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</si>
  <si>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</si>
  <si>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</si>
  <si>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</si>
  <si>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</si>
  <si>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</si>
  <si>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</si>
  <si>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</si>
  <si>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</si>
  <si>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</si>
  <si>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</si>
  <si>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</si>
  <si>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</si>
  <si>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</si>
  <si>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</si>
  <si>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</si>
  <si>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</si>
  <si>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</si>
  <si>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</si>
  <si>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</si>
  <si>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</si>
  <si>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</si>
  <si>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</si>
  <si>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</si>
  <si>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</si>
  <si>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</si>
  <si>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</si>
  <si>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</si>
  <si>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</si>
  <si>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</si>
  <si>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</si>
  <si>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</si>
  <si>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</si>
  <si>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</si>
  <si>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</si>
  <si>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</si>
  <si>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</si>
  <si>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</si>
  <si>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</si>
  <si>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</si>
  <si>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</si>
  <si>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</si>
  <si>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</si>
  <si>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</si>
  <si>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</si>
  <si>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</si>
  <si>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</si>
  <si>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</si>
  <si>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</si>
  <si>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</si>
  <si>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</si>
  <si>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</si>
  <si>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</si>
  <si>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</si>
  <si>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</si>
  <si>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</si>
  <si>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</si>
  <si>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</si>
  <si>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</si>
  <si>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</si>
  <si>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</si>
  <si>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</si>
  <si>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</si>
  <si>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</si>
  <si>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</si>
  <si>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</si>
  <si>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</si>
  <si>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</si>
  <si>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</si>
  <si>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</si>
  <si>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</si>
  <si>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</si>
  <si>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</si>
  <si>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</si>
  <si>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</si>
  <si>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</si>
  <si>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</si>
  <si>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</si>
  <si>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</si>
  <si>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</si>
  <si>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</si>
  <si>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</si>
  <si>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</si>
  <si>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</si>
  <si>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</si>
  <si>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</si>
  <si>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</si>
  <si>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</si>
  <si>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</si>
  <si>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</si>
  <si>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</si>
  <si>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</si>
  <si>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</si>
  <si>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</si>
  <si>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</si>
  <si>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</si>
  <si>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</si>
  <si>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</si>
  <si>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</si>
  <si>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</si>
  <si>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</si>
  <si>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</si>
  <si>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</si>
  <si>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</si>
  <si>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</si>
  <si>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</si>
  <si>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</si>
  <si>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</si>
  <si>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</si>
  <si>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</si>
  <si>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</si>
  <si>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</si>
  <si>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</si>
  <si>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</si>
  <si>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</si>
  <si>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</si>
  <si>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</si>
  <si>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</si>
  <si>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</si>
  <si>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Sum of Sales</t>
  </si>
  <si>
    <t>Sum of Profit</t>
  </si>
  <si>
    <t>Row Labels</t>
  </si>
  <si>
    <t>Grand Total</t>
  </si>
  <si>
    <t>2014</t>
  </si>
  <si>
    <t>2015</t>
  </si>
  <si>
    <t>2016</t>
  </si>
  <si>
    <t>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</si>
</sst>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409]* #,##0.00_ ;_-[$$-409]* \-#,##0.00\ ;_-[$$-409]* &quot;-&quot;??_ ;_-@_ "/>
  </numFmts>
  <fonts count="3" x14ac:knownFonts="1">
    <font>
      <sz val="11"/>
      <color theme="1"/>
      <name val="Calibri"/>
      <family val="2"/>
      <scheme val="minor"/>
    </font>
    <font>
      <sz val="12"/>
      <color theme="1"/>
      <name val="Corbel"/>
      <family val="2"/>
    </font>
    <font>
      <sz val="11"/>
      <color theme="1"/>
      <name val="Corbel"/>
      <family val="2"/>
    </font>
  </fonts>
  <fills count="6">
    <fill>
      <patternFill patternType="none"/>
    </fill>
    <fill>
      <patternFill patternType="gray125"/>
    </fill>
    <fill>
      <patternFill patternType="solid">
        <fgColor rgb="FF40BAD2"/>
        <bgColor indexed="64"/>
      </patternFill>
    </fill>
    <fill>
      <patternFill patternType="solid">
        <fgColor rgb="FFD8F1F5"/>
        <bgColor indexed="64"/>
      </patternFill>
    </fill>
    <fill>
      <patternFill patternType="solid">
        <fgColor rgb="FFB2E3EC"/>
        <bgColor indexed="64"/>
      </patternFill>
    </fill>
    <fill>
      <patternFill patternType="solid">
        <fgColor theme="5"/>
        <bgColor indexed="64"/>
      </patternFill>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4">
    <xf numFmtId="0" fontId="0" fillId="0" borderId="0" xfId="0"/>
    <xf numFmtId="0" fontId="1" fillId="2" borderId="1" xfId="0" applyFont="1" applyFill="1" applyBorder="1" applyAlignment="1">
      <alignment wrapText="1"/>
    </xf>
    <xf numFmtId="0" fontId="2" fillId="3" borderId="1" xfId="0" applyFont="1" applyFill="1" applyBorder="1" applyAlignment="1">
      <alignment horizontal="right" wrapText="1"/>
    </xf>
    <xf numFmtId="0" fontId="2" fillId="3" borderId="1" xfId="0" applyFont="1" applyFill="1" applyBorder="1" applyAlignment="1">
      <alignment wrapText="1"/>
    </xf>
    <xf numFmtId="14" fontId="2" fillId="3" borderId="1" xfId="0" applyNumberFormat="1" applyFont="1" applyFill="1" applyBorder="1" applyAlignment="1">
      <alignment horizontal="right" wrapText="1"/>
    </xf>
    <xf numFmtId="0" fontId="2" fillId="4" borderId="1" xfId="0" applyFont="1" applyFill="1" applyBorder="1" applyAlignment="1">
      <alignment horizontal="right" wrapText="1"/>
    </xf>
    <xf numFmtId="0" fontId="2" fillId="4" borderId="1" xfId="0" applyFont="1" applyFill="1" applyBorder="1" applyAlignment="1">
      <alignment wrapText="1"/>
    </xf>
    <xf numFmtId="14" fontId="2" fillId="4" borderId="1" xfId="0" applyNumberFormat="1" applyFont="1" applyFill="1" applyBorder="1" applyAlignment="1">
      <alignment horizontal="right" wrapText="1"/>
    </xf>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0" fillId="5" borderId="0" xfId="0" applyFill="1"/>
  </cellXfs>
  <cellStyles count="1">
    <cellStyle name="Normal" xfId="0" builtinId="0"/>
  </cellStyles>
  <dxfs count="86">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4" formatCode="0.00%"/>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s>
  <tableStyles count="0" defaultTableStyle="TableStyleMedium2" defaultPivotStyle="PivotStyleLight16"/>
  <colors>
    <mruColors>
      <color rgb="FFC0B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1/relationships/timelineCache" Target="timelineCaches/timelineCach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Profit</a:t>
            </a:r>
            <a:r>
              <a:rPr lang="en-IN" baseline="0"/>
              <a:t> and Sales by 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areaChart>
        <c:grouping val="standard"/>
        <c:varyColors val="0"/>
        <c:ser>
          <c:idx val="0"/>
          <c:order val="0"/>
          <c:tx>
            <c:strRef>
              <c:f>Analyze!$K$3</c:f>
              <c:strCache>
                <c:ptCount val="1"/>
                <c:pt idx="0">
                  <c:v>Sum of Profit</c:v>
                </c:pt>
              </c:strCache>
            </c:strRef>
          </c:tx>
          <c:spPr>
            <a:solidFill>
              <a:schemeClr val="accent1"/>
            </a:solidFill>
            <a:ln>
              <a:noFill/>
            </a:ln>
            <a:effectLst/>
          </c:spPr>
          <c:cat>
            <c:multiLvlStrRef>
              <c:f>Analyze!$J$4:$J$22</c:f>
              <c:multiLvlStrCache>
                <c:ptCount val="15"/>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Phones</c:v>
                  </c:pt>
                </c:lvl>
                <c:lvl>
                  <c:pt idx="0">
                    <c:v>Furniture</c:v>
                  </c:pt>
                  <c:pt idx="4">
                    <c:v>Office Supplies</c:v>
                  </c:pt>
                  <c:pt idx="13">
                    <c:v>Technology</c:v>
                  </c:pt>
                </c:lvl>
              </c:multiLvlStrCache>
            </c:multiLvlStrRef>
          </c:cat>
          <c:val>
            <c:numRef>
              <c:f>Analyze!$K$4:$K$22</c:f>
              <c:numCache>
                <c:formatCode>_-[$$-409]* #,##0.00_ ;_-[$$-409]* \-#,##0.00\ ;_-[$$-409]* "-"??_ ;_-@_ </c:formatCode>
                <c:ptCount val="15"/>
                <c:pt idx="0">
                  <c:v>-1670.115</c:v>
                </c:pt>
                <c:pt idx="1">
                  <c:v>699.0258</c:v>
                </c:pt>
                <c:pt idx="2">
                  <c:v>40.627700000000004</c:v>
                </c:pt>
                <c:pt idx="3">
                  <c:v>-299.75760000000002</c:v>
                </c:pt>
                <c:pt idx="4">
                  <c:v>223.34059999999999</c:v>
                </c:pt>
                <c:pt idx="5">
                  <c:v>175.40940000000003</c:v>
                </c:pt>
                <c:pt idx="6">
                  <c:v>130.92689999999996</c:v>
                </c:pt>
                <c:pt idx="7">
                  <c:v>201.87090000000001</c:v>
                </c:pt>
                <c:pt idx="8">
                  <c:v>29.734400000000001</c:v>
                </c:pt>
                <c:pt idx="9">
                  <c:v>45.162800000000004</c:v>
                </c:pt>
                <c:pt idx="10">
                  <c:v>327.0994</c:v>
                </c:pt>
                <c:pt idx="11">
                  <c:v>169.6251</c:v>
                </c:pt>
                <c:pt idx="12">
                  <c:v>18.446400000000001</c:v>
                </c:pt>
                <c:pt idx="13">
                  <c:v>100.66380000000001</c:v>
                </c:pt>
                <c:pt idx="14">
                  <c:v>852.56249999999977</c:v>
                </c:pt>
              </c:numCache>
            </c:numRef>
          </c:val>
        </c:ser>
        <c:ser>
          <c:idx val="1"/>
          <c:order val="1"/>
          <c:tx>
            <c:strRef>
              <c:f>Analyze!$L$3</c:f>
              <c:strCache>
                <c:ptCount val="1"/>
                <c:pt idx="0">
                  <c:v>Sum of Sales</c:v>
                </c:pt>
              </c:strCache>
            </c:strRef>
          </c:tx>
          <c:spPr>
            <a:solidFill>
              <a:schemeClr val="accent2"/>
            </a:solidFill>
            <a:ln>
              <a:noFill/>
            </a:ln>
            <a:effectLst/>
          </c:spPr>
          <c:cat>
            <c:multiLvlStrRef>
              <c:f>Analyze!$J$4:$J$22</c:f>
              <c:multiLvlStrCache>
                <c:ptCount val="15"/>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Phones</c:v>
                  </c:pt>
                </c:lvl>
                <c:lvl>
                  <c:pt idx="0">
                    <c:v>Furniture</c:v>
                  </c:pt>
                  <c:pt idx="4">
                    <c:v>Office Supplies</c:v>
                  </c:pt>
                  <c:pt idx="13">
                    <c:v>Technology</c:v>
                  </c:pt>
                </c:lvl>
              </c:multiLvlStrCache>
            </c:multiLvlStrRef>
          </c:cat>
          <c:val>
            <c:numRef>
              <c:f>Analyze!$L$4:$L$22</c:f>
              <c:numCache>
                <c:formatCode>_-[$$-409]* #,##0.00_ ;_-[$$-409]* \-#,##0.00\ ;_-[$$-409]* "-"??_ ;_-@_ </c:formatCode>
                <c:ptCount val="15"/>
                <c:pt idx="0">
                  <c:v>3877.7891999999997</c:v>
                </c:pt>
                <c:pt idx="1">
                  <c:v>5405.6030000000001</c:v>
                </c:pt>
                <c:pt idx="2">
                  <c:v>1375.5459999999998</c:v>
                </c:pt>
                <c:pt idx="3">
                  <c:v>5113.6215000000002</c:v>
                </c:pt>
                <c:pt idx="4">
                  <c:v>1369.52</c:v>
                </c:pt>
                <c:pt idx="5">
                  <c:v>1386.672</c:v>
                </c:pt>
                <c:pt idx="6">
                  <c:v>1055.518</c:v>
                </c:pt>
                <c:pt idx="7">
                  <c:v>578.6400000000001</c:v>
                </c:pt>
                <c:pt idx="8">
                  <c:v>80.831999999999994</c:v>
                </c:pt>
                <c:pt idx="9">
                  <c:v>95.960000000000008</c:v>
                </c:pt>
                <c:pt idx="10">
                  <c:v>743.08799999999997</c:v>
                </c:pt>
                <c:pt idx="11">
                  <c:v>2990.404</c:v>
                </c:pt>
                <c:pt idx="12">
                  <c:v>65.88</c:v>
                </c:pt>
                <c:pt idx="13">
                  <c:v>994.46399999999994</c:v>
                </c:pt>
                <c:pt idx="14">
                  <c:v>5631.6600000000008</c:v>
                </c:pt>
              </c:numCache>
            </c:numRef>
          </c:val>
        </c:ser>
        <c:dLbls>
          <c:showLegendKey val="0"/>
          <c:showVal val="0"/>
          <c:showCatName val="0"/>
          <c:showSerName val="0"/>
          <c:showPercent val="0"/>
          <c:showBubbleSize val="0"/>
        </c:dLbls>
        <c:axId val="712650176"/>
        <c:axId val="712644736"/>
      </c:areaChart>
      <c:catAx>
        <c:axId val="712650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44736"/>
        <c:crosses val="autoZero"/>
        <c:auto val="1"/>
        <c:lblAlgn val="ctr"/>
        <c:lblOffset val="100"/>
        <c:noMultiLvlLbl val="0"/>
      </c:catAx>
      <c:valAx>
        <c:axId val="712644736"/>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50176"/>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and Profit By Date</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ln w="28575" cap="rnd">
            <a:solidFill>
              <a:schemeClr val="accent1"/>
            </a:solidFill>
            <a:round/>
          </a:ln>
          <a:effectLst/>
        </c:spPr>
        <c:marker>
          <c:symbol val="none"/>
        </c:marker>
      </c:pivotFmt>
    </c:pivotFmts>
    <c:plotArea>
      <c:layout/>
      <c:barChart>
        <c:barDir val="col"/>
        <c:grouping val="clustered"/>
        <c:varyColors val="0"/>
        <c:ser>
          <c:idx val="0"/>
          <c:order val="0"/>
          <c:tx>
            <c:strRef>
              <c:f>Analyze!$B$15</c:f>
              <c:strCache>
                <c:ptCount val="1"/>
                <c:pt idx="0">
                  <c:v>Sum of Sales</c:v>
                </c:pt>
              </c:strCache>
            </c:strRef>
          </c:tx>
          <c:spPr>
            <a:solidFill>
              <a:schemeClr val="accent1"/>
            </a:solidFill>
            <a:ln>
              <a:noFill/>
            </a:ln>
            <a:effectLst/>
          </c:spPr>
          <c:invertIfNegative val="0"/>
          <c:cat>
            <c:strRef>
              <c:f>Analyze!$A$16:$A$20</c:f>
              <c:strCache>
                <c:ptCount val="4"/>
                <c:pt idx="0">
                  <c:v>2014</c:v>
                </c:pt>
                <c:pt idx="1">
                  <c:v>2015</c:v>
                </c:pt>
                <c:pt idx="2">
                  <c:v>2016</c:v>
                </c:pt>
                <c:pt idx="3">
                  <c:v>2017</c:v>
                </c:pt>
              </c:strCache>
            </c:strRef>
          </c:cat>
          <c:val>
            <c:numRef>
              <c:f>Analyze!$B$16:$B$20</c:f>
              <c:numCache>
                <c:formatCode>_-[$$-409]* #,##0.00_ ;_-[$$-409]* \-#,##0.00\ ;_-[$$-409]* "-"??_ ;_-@_ </c:formatCode>
                <c:ptCount val="4"/>
                <c:pt idx="0">
                  <c:v>7740.387999999999</c:v>
                </c:pt>
                <c:pt idx="1">
                  <c:v>10980.6317</c:v>
                </c:pt>
                <c:pt idx="2">
                  <c:v>9359.4540000000015</c:v>
                </c:pt>
                <c:pt idx="3">
                  <c:v>2684.7239999999997</c:v>
                </c:pt>
              </c:numCache>
            </c:numRef>
          </c:val>
        </c:ser>
        <c:dLbls>
          <c:showLegendKey val="0"/>
          <c:showVal val="0"/>
          <c:showCatName val="0"/>
          <c:showSerName val="0"/>
          <c:showPercent val="0"/>
          <c:showBubbleSize val="0"/>
        </c:dLbls>
        <c:gapWidth val="219"/>
        <c:overlap val="-27"/>
        <c:axId val="712649632"/>
        <c:axId val="712642560"/>
      </c:barChart>
      <c:lineChart>
        <c:grouping val="standard"/>
        <c:varyColors val="0"/>
        <c:ser>
          <c:idx val="1"/>
          <c:order val="1"/>
          <c:tx>
            <c:strRef>
              <c:f>Analyze!$C$15</c:f>
              <c:strCache>
                <c:ptCount val="1"/>
                <c:pt idx="0">
                  <c:v>Sum of Profit</c:v>
                </c:pt>
              </c:strCache>
            </c:strRef>
          </c:tx>
          <c:spPr>
            <a:ln w="28575" cap="rnd">
              <a:solidFill>
                <a:schemeClr val="accent2"/>
              </a:solidFill>
              <a:round/>
            </a:ln>
            <a:effectLst/>
          </c:spPr>
          <c:marker>
            <c:symbol val="none"/>
          </c:marker>
          <c:cat>
            <c:strRef>
              <c:f>Analyze!$A$16:$A$20</c:f>
              <c:strCache>
                <c:ptCount val="4"/>
                <c:pt idx="0">
                  <c:v>2014</c:v>
                </c:pt>
                <c:pt idx="1">
                  <c:v>2015</c:v>
                </c:pt>
                <c:pt idx="2">
                  <c:v>2016</c:v>
                </c:pt>
                <c:pt idx="3">
                  <c:v>2017</c:v>
                </c:pt>
              </c:strCache>
            </c:strRef>
          </c:cat>
          <c:val>
            <c:numRef>
              <c:f>Analyze!$C$16:$C$20</c:f>
              <c:numCache>
                <c:formatCode>_-[$$-409]* #,##0.00_ ;_-[$$-409]* \-#,##0.00\ ;_-[$$-409]* "-"??_ ;_-@_ </c:formatCode>
                <c:ptCount val="4"/>
                <c:pt idx="0">
                  <c:v>192.9817000000001</c:v>
                </c:pt>
                <c:pt idx="1">
                  <c:v>-1684.2518000000005</c:v>
                </c:pt>
                <c:pt idx="2">
                  <c:v>2063.5399000000002</c:v>
                </c:pt>
                <c:pt idx="3">
                  <c:v>472.35329999999999</c:v>
                </c:pt>
              </c:numCache>
            </c:numRef>
          </c:val>
          <c:smooth val="0"/>
        </c:ser>
        <c:dLbls>
          <c:showLegendKey val="0"/>
          <c:showVal val="0"/>
          <c:showCatName val="0"/>
          <c:showSerName val="0"/>
          <c:showPercent val="0"/>
          <c:showBubbleSize val="0"/>
        </c:dLbls>
        <c:marker val="1"/>
        <c:smooth val="0"/>
        <c:axId val="712655616"/>
        <c:axId val="712650720"/>
      </c:lineChart>
      <c:catAx>
        <c:axId val="71264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42560"/>
        <c:crosses val="autoZero"/>
        <c:auto val="1"/>
        <c:lblAlgn val="ctr"/>
        <c:lblOffset val="100"/>
        <c:noMultiLvlLbl val="0"/>
      </c:catAx>
      <c:valAx>
        <c:axId val="712642560"/>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49632"/>
        <c:crosses val="autoZero"/>
        <c:crossBetween val="between"/>
      </c:valAx>
      <c:valAx>
        <c:axId val="712650720"/>
        <c:scaling>
          <c:orientation val="minMax"/>
        </c:scaling>
        <c:delete val="0"/>
        <c:axPos val="r"/>
        <c:numFmt formatCode="_-[$$-409]* #,##0.00_ ;_-[$$-409]* \-#,##0.0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55616"/>
        <c:crosses val="max"/>
        <c:crossBetween val="between"/>
      </c:valAx>
      <c:catAx>
        <c:axId val="712655616"/>
        <c:scaling>
          <c:orientation val="minMax"/>
        </c:scaling>
        <c:delete val="1"/>
        <c:axPos val="b"/>
        <c:numFmt formatCode="General" sourceLinked="1"/>
        <c:majorTickMark val="out"/>
        <c:minorTickMark val="none"/>
        <c:tickLblPos val="nextTo"/>
        <c:crossAx val="71265072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Customers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Analyze!$K$28</c:f>
              <c:strCache>
                <c:ptCount val="1"/>
                <c:pt idx="0">
                  <c:v>Total</c:v>
                </c:pt>
              </c:strCache>
            </c:strRef>
          </c:tx>
          <c:spPr>
            <a:solidFill>
              <a:schemeClr val="accent1"/>
            </a:solidFill>
            <a:ln>
              <a:noFill/>
            </a:ln>
            <a:effectLst/>
          </c:spPr>
          <c:invertIfNegative val="0"/>
          <c:cat>
            <c:strRef>
              <c:f>Analyze!$J$29:$J$34</c:f>
              <c:strCache>
                <c:ptCount val="5"/>
                <c:pt idx="0">
                  <c:v>Brendan Sweed</c:v>
                </c:pt>
                <c:pt idx="1">
                  <c:v>Brosina Hoffman</c:v>
                </c:pt>
                <c:pt idx="2">
                  <c:v>Gene Hale</c:v>
                </c:pt>
                <c:pt idx="3">
                  <c:v>Justin Ellison</c:v>
                </c:pt>
                <c:pt idx="4">
                  <c:v>Tracy Blumstein</c:v>
                </c:pt>
              </c:strCache>
            </c:strRef>
          </c:cat>
          <c:val>
            <c:numRef>
              <c:f>Analyze!$K$29:$K$34</c:f>
              <c:numCache>
                <c:formatCode>_-[$$-409]* #,##0.00_ ;_-[$$-409]* \-#,##0.00\ ;_-[$$-409]* "-"??_ ;_-@_ </c:formatCode>
                <c:ptCount val="5"/>
                <c:pt idx="0">
                  <c:v>1280.992</c:v>
                </c:pt>
                <c:pt idx="1">
                  <c:v>3714.3040000000001</c:v>
                </c:pt>
                <c:pt idx="2">
                  <c:v>1288.4640000000002</c:v>
                </c:pt>
                <c:pt idx="3">
                  <c:v>2486.2599999999998</c:v>
                </c:pt>
                <c:pt idx="4">
                  <c:v>3348.4840000000004</c:v>
                </c:pt>
              </c:numCache>
            </c:numRef>
          </c:val>
        </c:ser>
        <c:dLbls>
          <c:showLegendKey val="0"/>
          <c:showVal val="0"/>
          <c:showCatName val="0"/>
          <c:showSerName val="0"/>
          <c:showPercent val="0"/>
          <c:showBubbleSize val="0"/>
        </c:dLbls>
        <c:gapWidth val="219"/>
        <c:overlap val="-27"/>
        <c:axId val="712645280"/>
        <c:axId val="712646368"/>
      </c:barChart>
      <c:catAx>
        <c:axId val="71264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46368"/>
        <c:crosses val="autoZero"/>
        <c:auto val="1"/>
        <c:lblAlgn val="ctr"/>
        <c:lblOffset val="100"/>
        <c:noMultiLvlLbl val="0"/>
      </c:catAx>
      <c:valAx>
        <c:axId val="712646368"/>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452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Region</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Analyze!$B$47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Analyze!$A$48:$A$52</c:f>
              <c:strCache>
                <c:ptCount val="4"/>
                <c:pt idx="0">
                  <c:v>Central</c:v>
                </c:pt>
                <c:pt idx="1">
                  <c:v>East</c:v>
                </c:pt>
                <c:pt idx="2">
                  <c:v>South</c:v>
                </c:pt>
                <c:pt idx="3">
                  <c:v>West</c:v>
                </c:pt>
              </c:strCache>
            </c:strRef>
          </c:cat>
          <c:val>
            <c:numRef>
              <c:f>Analyze!$B$48:$B$52</c:f>
              <c:numCache>
                <c:formatCode>0.00%</c:formatCode>
                <c:ptCount val="4"/>
                <c:pt idx="0">
                  <c:v>0.6369884028028866</c:v>
                </c:pt>
                <c:pt idx="1">
                  <c:v>-0.85680031391226175</c:v>
                </c:pt>
                <c:pt idx="2">
                  <c:v>-0.12866276841858082</c:v>
                </c:pt>
                <c:pt idx="3">
                  <c:v>1.3484746795279561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Profit</a:t>
            </a:r>
            <a:r>
              <a:rPr lang="en-IN" baseline="0"/>
              <a:t> and Sales by 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areaChart>
        <c:grouping val="standard"/>
        <c:varyColors val="0"/>
        <c:ser>
          <c:idx val="0"/>
          <c:order val="0"/>
          <c:tx>
            <c:strRef>
              <c:f>Analyze!$K$3</c:f>
              <c:strCache>
                <c:ptCount val="1"/>
                <c:pt idx="0">
                  <c:v>Sum of Profit</c:v>
                </c:pt>
              </c:strCache>
            </c:strRef>
          </c:tx>
          <c:spPr>
            <a:solidFill>
              <a:schemeClr val="accent1"/>
            </a:solidFill>
            <a:ln>
              <a:noFill/>
            </a:ln>
            <a:effectLst/>
          </c:spPr>
          <c:cat>
            <c:multiLvlStrRef>
              <c:f>Analyze!$J$4:$J$22</c:f>
              <c:multiLvlStrCache>
                <c:ptCount val="15"/>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Phones</c:v>
                  </c:pt>
                </c:lvl>
                <c:lvl>
                  <c:pt idx="0">
                    <c:v>Furniture</c:v>
                  </c:pt>
                  <c:pt idx="4">
                    <c:v>Office Supplies</c:v>
                  </c:pt>
                  <c:pt idx="13">
                    <c:v>Technology</c:v>
                  </c:pt>
                </c:lvl>
              </c:multiLvlStrCache>
            </c:multiLvlStrRef>
          </c:cat>
          <c:val>
            <c:numRef>
              <c:f>Analyze!$K$4:$K$22</c:f>
              <c:numCache>
                <c:formatCode>_-[$$-409]* #,##0.00_ ;_-[$$-409]* \-#,##0.00\ ;_-[$$-409]* "-"??_ ;_-@_ </c:formatCode>
                <c:ptCount val="15"/>
                <c:pt idx="0">
                  <c:v>-1670.115</c:v>
                </c:pt>
                <c:pt idx="1">
                  <c:v>699.0258</c:v>
                </c:pt>
                <c:pt idx="2">
                  <c:v>40.627700000000004</c:v>
                </c:pt>
                <c:pt idx="3">
                  <c:v>-299.75760000000002</c:v>
                </c:pt>
                <c:pt idx="4">
                  <c:v>223.34059999999999</c:v>
                </c:pt>
                <c:pt idx="5">
                  <c:v>175.40940000000003</c:v>
                </c:pt>
                <c:pt idx="6">
                  <c:v>130.92689999999996</c:v>
                </c:pt>
                <c:pt idx="7">
                  <c:v>201.87090000000001</c:v>
                </c:pt>
                <c:pt idx="8">
                  <c:v>29.734400000000001</c:v>
                </c:pt>
                <c:pt idx="9">
                  <c:v>45.162800000000004</c:v>
                </c:pt>
                <c:pt idx="10">
                  <c:v>327.0994</c:v>
                </c:pt>
                <c:pt idx="11">
                  <c:v>169.6251</c:v>
                </c:pt>
                <c:pt idx="12">
                  <c:v>18.446400000000001</c:v>
                </c:pt>
                <c:pt idx="13">
                  <c:v>100.66380000000001</c:v>
                </c:pt>
                <c:pt idx="14">
                  <c:v>852.56249999999977</c:v>
                </c:pt>
              </c:numCache>
            </c:numRef>
          </c:val>
        </c:ser>
        <c:ser>
          <c:idx val="1"/>
          <c:order val="1"/>
          <c:tx>
            <c:strRef>
              <c:f>Analyze!$L$3</c:f>
              <c:strCache>
                <c:ptCount val="1"/>
                <c:pt idx="0">
                  <c:v>Sum of Sales</c:v>
                </c:pt>
              </c:strCache>
            </c:strRef>
          </c:tx>
          <c:spPr>
            <a:solidFill>
              <a:schemeClr val="accent2"/>
            </a:solidFill>
            <a:ln>
              <a:noFill/>
            </a:ln>
            <a:effectLst/>
          </c:spPr>
          <c:cat>
            <c:multiLvlStrRef>
              <c:f>Analyze!$J$4:$J$22</c:f>
              <c:multiLvlStrCache>
                <c:ptCount val="15"/>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Phones</c:v>
                  </c:pt>
                </c:lvl>
                <c:lvl>
                  <c:pt idx="0">
                    <c:v>Furniture</c:v>
                  </c:pt>
                  <c:pt idx="4">
                    <c:v>Office Supplies</c:v>
                  </c:pt>
                  <c:pt idx="13">
                    <c:v>Technology</c:v>
                  </c:pt>
                </c:lvl>
              </c:multiLvlStrCache>
            </c:multiLvlStrRef>
          </c:cat>
          <c:val>
            <c:numRef>
              <c:f>Analyze!$L$4:$L$22</c:f>
              <c:numCache>
                <c:formatCode>_-[$$-409]* #,##0.00_ ;_-[$$-409]* \-#,##0.00\ ;_-[$$-409]* "-"??_ ;_-@_ </c:formatCode>
                <c:ptCount val="15"/>
                <c:pt idx="0">
                  <c:v>3877.7891999999997</c:v>
                </c:pt>
                <c:pt idx="1">
                  <c:v>5405.6030000000001</c:v>
                </c:pt>
                <c:pt idx="2">
                  <c:v>1375.5459999999998</c:v>
                </c:pt>
                <c:pt idx="3">
                  <c:v>5113.6215000000002</c:v>
                </c:pt>
                <c:pt idx="4">
                  <c:v>1369.52</c:v>
                </c:pt>
                <c:pt idx="5">
                  <c:v>1386.672</c:v>
                </c:pt>
                <c:pt idx="6">
                  <c:v>1055.518</c:v>
                </c:pt>
                <c:pt idx="7">
                  <c:v>578.6400000000001</c:v>
                </c:pt>
                <c:pt idx="8">
                  <c:v>80.831999999999994</c:v>
                </c:pt>
                <c:pt idx="9">
                  <c:v>95.960000000000008</c:v>
                </c:pt>
                <c:pt idx="10">
                  <c:v>743.08799999999997</c:v>
                </c:pt>
                <c:pt idx="11">
                  <c:v>2990.404</c:v>
                </c:pt>
                <c:pt idx="12">
                  <c:v>65.88</c:v>
                </c:pt>
                <c:pt idx="13">
                  <c:v>994.46399999999994</c:v>
                </c:pt>
                <c:pt idx="14">
                  <c:v>5631.6600000000008</c:v>
                </c:pt>
              </c:numCache>
            </c:numRef>
          </c:val>
        </c:ser>
        <c:dLbls>
          <c:showLegendKey val="0"/>
          <c:showVal val="0"/>
          <c:showCatName val="0"/>
          <c:showSerName val="0"/>
          <c:showPercent val="0"/>
          <c:showBubbleSize val="0"/>
        </c:dLbls>
        <c:axId val="712653440"/>
        <c:axId val="712646912"/>
      </c:areaChart>
      <c:catAx>
        <c:axId val="712653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46912"/>
        <c:crosses val="autoZero"/>
        <c:auto val="1"/>
        <c:lblAlgn val="ctr"/>
        <c:lblOffset val="100"/>
        <c:noMultiLvlLbl val="0"/>
      </c:catAx>
      <c:valAx>
        <c:axId val="712646912"/>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5344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and Profit By Date</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ln w="28575" cap="rnd">
            <a:solidFill>
              <a:schemeClr val="accent1"/>
            </a:solidFill>
            <a:round/>
          </a:ln>
          <a:effectLst/>
        </c:spPr>
        <c:marker>
          <c:symbol val="none"/>
        </c:marker>
      </c:pivotFmt>
    </c:pivotFmts>
    <c:plotArea>
      <c:layout/>
      <c:barChart>
        <c:barDir val="col"/>
        <c:grouping val="clustered"/>
        <c:varyColors val="0"/>
        <c:ser>
          <c:idx val="0"/>
          <c:order val="0"/>
          <c:tx>
            <c:strRef>
              <c:f>Analyze!$B$15</c:f>
              <c:strCache>
                <c:ptCount val="1"/>
                <c:pt idx="0">
                  <c:v>Sum of Sales</c:v>
                </c:pt>
              </c:strCache>
            </c:strRef>
          </c:tx>
          <c:spPr>
            <a:solidFill>
              <a:schemeClr val="accent1"/>
            </a:solidFill>
            <a:ln>
              <a:noFill/>
            </a:ln>
            <a:effectLst/>
          </c:spPr>
          <c:invertIfNegative val="0"/>
          <c:cat>
            <c:strRef>
              <c:f>Analyze!$A$16:$A$20</c:f>
              <c:strCache>
                <c:ptCount val="4"/>
                <c:pt idx="0">
                  <c:v>2014</c:v>
                </c:pt>
                <c:pt idx="1">
                  <c:v>2015</c:v>
                </c:pt>
                <c:pt idx="2">
                  <c:v>2016</c:v>
                </c:pt>
                <c:pt idx="3">
                  <c:v>2017</c:v>
                </c:pt>
              </c:strCache>
            </c:strRef>
          </c:cat>
          <c:val>
            <c:numRef>
              <c:f>Analyze!$B$16:$B$20</c:f>
              <c:numCache>
                <c:formatCode>_-[$$-409]* #,##0.00_ ;_-[$$-409]* \-#,##0.00\ ;_-[$$-409]* "-"??_ ;_-@_ </c:formatCode>
                <c:ptCount val="4"/>
                <c:pt idx="0">
                  <c:v>7740.387999999999</c:v>
                </c:pt>
                <c:pt idx="1">
                  <c:v>10980.6317</c:v>
                </c:pt>
                <c:pt idx="2">
                  <c:v>9359.4540000000015</c:v>
                </c:pt>
                <c:pt idx="3">
                  <c:v>2684.7239999999997</c:v>
                </c:pt>
              </c:numCache>
            </c:numRef>
          </c:val>
        </c:ser>
        <c:dLbls>
          <c:showLegendKey val="0"/>
          <c:showVal val="0"/>
          <c:showCatName val="0"/>
          <c:showSerName val="0"/>
          <c:showPercent val="0"/>
          <c:showBubbleSize val="0"/>
        </c:dLbls>
        <c:gapWidth val="219"/>
        <c:overlap val="-27"/>
        <c:axId val="490246640"/>
        <c:axId val="712656704"/>
      </c:barChart>
      <c:lineChart>
        <c:grouping val="standard"/>
        <c:varyColors val="0"/>
        <c:ser>
          <c:idx val="1"/>
          <c:order val="1"/>
          <c:tx>
            <c:strRef>
              <c:f>Analyze!$C$15</c:f>
              <c:strCache>
                <c:ptCount val="1"/>
                <c:pt idx="0">
                  <c:v>Sum of Profit</c:v>
                </c:pt>
              </c:strCache>
            </c:strRef>
          </c:tx>
          <c:spPr>
            <a:ln w="28575" cap="rnd">
              <a:solidFill>
                <a:schemeClr val="accent2"/>
              </a:solidFill>
              <a:round/>
            </a:ln>
            <a:effectLst/>
          </c:spPr>
          <c:marker>
            <c:symbol val="none"/>
          </c:marker>
          <c:cat>
            <c:strRef>
              <c:f>Analyze!$A$16:$A$20</c:f>
              <c:strCache>
                <c:ptCount val="4"/>
                <c:pt idx="0">
                  <c:v>2014</c:v>
                </c:pt>
                <c:pt idx="1">
                  <c:v>2015</c:v>
                </c:pt>
                <c:pt idx="2">
                  <c:v>2016</c:v>
                </c:pt>
                <c:pt idx="3">
                  <c:v>2017</c:v>
                </c:pt>
              </c:strCache>
            </c:strRef>
          </c:cat>
          <c:val>
            <c:numRef>
              <c:f>Analyze!$C$16:$C$20</c:f>
              <c:numCache>
                <c:formatCode>_-[$$-409]* #,##0.00_ ;_-[$$-409]* \-#,##0.00\ ;_-[$$-409]* "-"??_ ;_-@_ </c:formatCode>
                <c:ptCount val="4"/>
                <c:pt idx="0">
                  <c:v>192.9817000000001</c:v>
                </c:pt>
                <c:pt idx="1">
                  <c:v>-1684.2518000000005</c:v>
                </c:pt>
                <c:pt idx="2">
                  <c:v>2063.5399000000002</c:v>
                </c:pt>
                <c:pt idx="3">
                  <c:v>472.35329999999999</c:v>
                </c:pt>
              </c:numCache>
            </c:numRef>
          </c:val>
          <c:smooth val="0"/>
        </c:ser>
        <c:dLbls>
          <c:showLegendKey val="0"/>
          <c:showVal val="0"/>
          <c:showCatName val="0"/>
          <c:showSerName val="0"/>
          <c:showPercent val="0"/>
          <c:showBubbleSize val="0"/>
        </c:dLbls>
        <c:marker val="1"/>
        <c:smooth val="0"/>
        <c:axId val="831872288"/>
        <c:axId val="489367008"/>
      </c:lineChart>
      <c:catAx>
        <c:axId val="49024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656704"/>
        <c:crosses val="autoZero"/>
        <c:auto val="1"/>
        <c:lblAlgn val="ctr"/>
        <c:lblOffset val="100"/>
        <c:noMultiLvlLbl val="0"/>
      </c:catAx>
      <c:valAx>
        <c:axId val="712656704"/>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46640"/>
        <c:crosses val="autoZero"/>
        <c:crossBetween val="between"/>
      </c:valAx>
      <c:valAx>
        <c:axId val="489367008"/>
        <c:scaling>
          <c:orientation val="minMax"/>
        </c:scaling>
        <c:delete val="0"/>
        <c:axPos val="r"/>
        <c:numFmt formatCode="_-[$$-409]* #,##0.00_ ;_-[$$-409]* \-#,##0.0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72288"/>
        <c:crosses val="max"/>
        <c:crossBetween val="between"/>
      </c:valAx>
      <c:catAx>
        <c:axId val="831872288"/>
        <c:scaling>
          <c:orientation val="minMax"/>
        </c:scaling>
        <c:delete val="1"/>
        <c:axPos val="b"/>
        <c:numFmt formatCode="General" sourceLinked="1"/>
        <c:majorTickMark val="out"/>
        <c:minorTickMark val="none"/>
        <c:tickLblPos val="nextTo"/>
        <c:crossAx val="4893670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Region</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Analyze!$B$47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Analyze!$A$48:$A$52</c:f>
              <c:strCache>
                <c:ptCount val="4"/>
                <c:pt idx="0">
                  <c:v>Central</c:v>
                </c:pt>
                <c:pt idx="1">
                  <c:v>East</c:v>
                </c:pt>
                <c:pt idx="2">
                  <c:v>South</c:v>
                </c:pt>
                <c:pt idx="3">
                  <c:v>West</c:v>
                </c:pt>
              </c:strCache>
            </c:strRef>
          </c:cat>
          <c:val>
            <c:numRef>
              <c:f>Analyze!$B$48:$B$52</c:f>
              <c:numCache>
                <c:formatCode>0.00%</c:formatCode>
                <c:ptCount val="4"/>
                <c:pt idx="0">
                  <c:v>0.6369884028028866</c:v>
                </c:pt>
                <c:pt idx="1">
                  <c:v>-0.85680031391226175</c:v>
                </c:pt>
                <c:pt idx="2">
                  <c:v>-0.12866276841858082</c:v>
                </c:pt>
                <c:pt idx="3">
                  <c:v>1.3484746795279561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[visualization.xlsm]Analyze!PivotTable6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Customers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Analyze!$K$28</c:f>
              <c:strCache>
                <c:ptCount val="1"/>
                <c:pt idx="0">
                  <c:v>Total</c:v>
                </c:pt>
              </c:strCache>
            </c:strRef>
          </c:tx>
          <c:spPr>
            <a:solidFill>
              <a:schemeClr val="accent1"/>
            </a:solidFill>
            <a:ln>
              <a:noFill/>
            </a:ln>
            <a:effectLst/>
          </c:spPr>
          <c:invertIfNegative val="0"/>
          <c:cat>
            <c:strRef>
              <c:f>Analyze!$J$29:$J$34</c:f>
              <c:strCache>
                <c:ptCount val="5"/>
                <c:pt idx="0">
                  <c:v>Brendan Sweed</c:v>
                </c:pt>
                <c:pt idx="1">
                  <c:v>Brosina Hoffman</c:v>
                </c:pt>
                <c:pt idx="2">
                  <c:v>Gene Hale</c:v>
                </c:pt>
                <c:pt idx="3">
                  <c:v>Justin Ellison</c:v>
                </c:pt>
                <c:pt idx="4">
                  <c:v>Tracy Blumstein</c:v>
                </c:pt>
              </c:strCache>
            </c:strRef>
          </c:cat>
          <c:val>
            <c:numRef>
              <c:f>Analyze!$K$29:$K$34</c:f>
              <c:numCache>
                <c:formatCode>_-[$$-409]* #,##0.00_ ;_-[$$-409]* \-#,##0.00\ ;_-[$$-409]* "-"??_ ;_-@_ </c:formatCode>
                <c:ptCount val="5"/>
                <c:pt idx="0">
                  <c:v>1280.992</c:v>
                </c:pt>
                <c:pt idx="1">
                  <c:v>3714.3040000000001</c:v>
                </c:pt>
                <c:pt idx="2">
                  <c:v>1288.4640000000002</c:v>
                </c:pt>
                <c:pt idx="3">
                  <c:v>2486.2599999999998</c:v>
                </c:pt>
                <c:pt idx="4">
                  <c:v>3348.4840000000004</c:v>
                </c:pt>
              </c:numCache>
            </c:numRef>
          </c:val>
        </c:ser>
        <c:dLbls>
          <c:showLegendKey val="0"/>
          <c:showVal val="0"/>
          <c:showCatName val="0"/>
          <c:showSerName val="0"/>
          <c:showPercent val="0"/>
          <c:showBubbleSize val="0"/>
        </c:dLbls>
        <c:gapWidth val="219"/>
        <c:axId val="831887520"/>
        <c:axId val="831873920"/>
      </c:barChart>
      <c:catAx>
        <c:axId val="831887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73920"/>
        <c:crosses val="autoZero"/>
        <c:auto val="1"/>
        <c:lblAlgn val="ctr"/>
        <c:lblOffset val="100"/>
        <c:noMultiLvlLbl val="0"/>
      </c:catAx>
      <c:valAx>
        <c:axId val="831873920"/>
        <c:scaling>
          <c:orientation val="minMax"/>
        </c:scaling>
        <c:delete val="0"/>
        <c:axPos val="b"/>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875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1203960</xdr:colOff>
      <xdr:row>7</xdr:row>
      <xdr:rowOff>91440</xdr:rowOff>
    </xdr:from>
    <xdr:to>
      <xdr:col>8</xdr:col>
      <xdr:colOff>175260</xdr:colOff>
      <xdr:row>22</xdr:row>
      <xdr:rowOff>91440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1219200</xdr:colOff>
      <xdr:row>23</xdr:row>
      <xdr:rowOff>99060</xdr:rowOff>
    </xdr:from>
    <xdr:to>
      <xdr:col>8</xdr:col>
      <xdr:colOff>190500</xdr:colOff>
      <xdr:row>38</xdr:row>
      <xdr:rowOff>99060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335280</xdr:colOff>
      <xdr:row>23</xdr:row>
      <xdr:rowOff>22860</xdr:rowOff>
    </xdr:from>
    <xdr:to>
      <xdr:col>13</xdr:col>
      <xdr:colOff>3497580</xdr:colOff>
      <xdr:row>38</xdr:row>
      <xdr:rowOff>22860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1181100</xdr:colOff>
      <xdr:row>40</xdr:row>
      <xdr:rowOff>0</xdr:rowOff>
    </xdr:from>
    <xdr:to>
      <xdr:col>8</xdr:col>
      <xdr:colOff>152400</xdr:colOff>
      <xdr:row>55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170330</xdr:colOff>
      <xdr:row>5</xdr:row>
      <xdr:rowOff>53787</xdr:rowOff>
    </xdr:from>
    <xdr:to>
      <xdr:col>14</xdr:col>
      <xdr:colOff>358588</xdr:colOff>
      <xdr:row>12</xdr:row>
      <xdr:rowOff>80682</xdr:rowOff>
    </xdr:to>
    <xdr:sp macro="" textlink="">
      <xdr:nvSpPr>
        <xdr:cNvPr id="5" name="Rectangle 4"/>
        <xdr:cNvSpPr/>
      </xdr:nvSpPr>
      <xdr:spPr>
        <a:xfrm>
          <a:off x="6266330" y="950258"/>
          <a:ext cx="2626658" cy="12819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26</xdr:col>
      <xdr:colOff>141514</xdr:colOff>
      <xdr:row>5</xdr:row>
      <xdr:rowOff>3586</xdr:rowOff>
    </xdr:to>
    <xdr:sp macro="" textlink="">
      <xdr:nvSpPr>
        <xdr:cNvPr id="2" name="Rectangle 1"/>
        <xdr:cNvSpPr/>
      </xdr:nvSpPr>
      <xdr:spPr>
        <a:xfrm>
          <a:off x="0" y="0"/>
          <a:ext cx="15991114" cy="92887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000" b="1"/>
            <a:t>Sample</a:t>
          </a:r>
          <a:r>
            <a:rPr lang="en-IN" sz="3000" b="1" baseline="0"/>
            <a:t> Dashboard</a:t>
          </a:r>
          <a:endParaRPr lang="en-IN" sz="3000" b="1"/>
        </a:p>
      </xdr:txBody>
    </xdr:sp>
    <xdr:clientData/>
  </xdr:twoCellAnchor>
  <xdr:twoCellAnchor>
    <xdr:from>
      <xdr:col>0</xdr:col>
      <xdr:colOff>17928</xdr:colOff>
      <xdr:row>5</xdr:row>
      <xdr:rowOff>26893</xdr:rowOff>
    </xdr:from>
    <xdr:to>
      <xdr:col>4</xdr:col>
      <xdr:colOff>277905</xdr:colOff>
      <xdr:row>38</xdr:row>
      <xdr:rowOff>152400</xdr:rowOff>
    </xdr:to>
    <xdr:sp macro="" textlink="">
      <xdr:nvSpPr>
        <xdr:cNvPr id="3" name="Rectangle 2"/>
        <xdr:cNvSpPr/>
      </xdr:nvSpPr>
      <xdr:spPr>
        <a:xfrm>
          <a:off x="17928" y="923364"/>
          <a:ext cx="2698377" cy="60422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331695</xdr:colOff>
      <xdr:row>5</xdr:row>
      <xdr:rowOff>53787</xdr:rowOff>
    </xdr:from>
    <xdr:to>
      <xdr:col>8</xdr:col>
      <xdr:colOff>519953</xdr:colOff>
      <xdr:row>12</xdr:row>
      <xdr:rowOff>80682</xdr:rowOff>
    </xdr:to>
    <xdr:sp macro="" textlink="">
      <xdr:nvSpPr>
        <xdr:cNvPr id="4" name="Rectangle 3"/>
        <xdr:cNvSpPr/>
      </xdr:nvSpPr>
      <xdr:spPr>
        <a:xfrm>
          <a:off x="2770095" y="950258"/>
          <a:ext cx="2626658" cy="12819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143435</xdr:colOff>
      <xdr:row>5</xdr:row>
      <xdr:rowOff>62752</xdr:rowOff>
    </xdr:from>
    <xdr:to>
      <xdr:col>20</xdr:col>
      <xdr:colOff>331693</xdr:colOff>
      <xdr:row>12</xdr:row>
      <xdr:rowOff>89647</xdr:rowOff>
    </xdr:to>
    <xdr:sp macro="" textlink="">
      <xdr:nvSpPr>
        <xdr:cNvPr id="6" name="Rectangle 5"/>
        <xdr:cNvSpPr/>
      </xdr:nvSpPr>
      <xdr:spPr>
        <a:xfrm>
          <a:off x="9897035" y="959223"/>
          <a:ext cx="2626658" cy="12819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565417</xdr:colOff>
      <xdr:row>5</xdr:row>
      <xdr:rowOff>48025</xdr:rowOff>
    </xdr:from>
    <xdr:to>
      <xdr:col>26</xdr:col>
      <xdr:colOff>144075</xdr:colOff>
      <xdr:row>12</xdr:row>
      <xdr:rowOff>74920</xdr:rowOff>
    </xdr:to>
    <xdr:sp macro="" textlink="">
      <xdr:nvSpPr>
        <xdr:cNvPr id="7" name="Rectangle 6"/>
        <xdr:cNvSpPr/>
      </xdr:nvSpPr>
      <xdr:spPr>
        <a:xfrm>
          <a:off x="13367017" y="973311"/>
          <a:ext cx="2626658" cy="13222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358588</xdr:colOff>
      <xdr:row>12</xdr:row>
      <xdr:rowOff>125507</xdr:rowOff>
    </xdr:from>
    <xdr:to>
      <xdr:col>11</xdr:col>
      <xdr:colOff>304800</xdr:colOff>
      <xdr:row>28</xdr:row>
      <xdr:rowOff>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421341</xdr:colOff>
      <xdr:row>12</xdr:row>
      <xdr:rowOff>134471</xdr:rowOff>
    </xdr:from>
    <xdr:to>
      <xdr:col>18</xdr:col>
      <xdr:colOff>340659</xdr:colOff>
      <xdr:row>28</xdr:row>
      <xdr:rowOff>8965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430305</xdr:colOff>
      <xdr:row>12</xdr:row>
      <xdr:rowOff>125507</xdr:rowOff>
    </xdr:from>
    <xdr:to>
      <xdr:col>26</xdr:col>
      <xdr:colOff>125505</xdr:colOff>
      <xdr:row>28</xdr:row>
      <xdr:rowOff>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367553</xdr:colOff>
      <xdr:row>28</xdr:row>
      <xdr:rowOff>116542</xdr:rowOff>
    </xdr:from>
    <xdr:to>
      <xdr:col>26</xdr:col>
      <xdr:colOff>161364</xdr:colOff>
      <xdr:row>38</xdr:row>
      <xdr:rowOff>125506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5</xdr:row>
      <xdr:rowOff>43542</xdr:rowOff>
    </xdr:from>
    <xdr:to>
      <xdr:col>4</xdr:col>
      <xdr:colOff>272142</xdr:colOff>
      <xdr:row>16</xdr:row>
      <xdr:rowOff>0</xdr:rowOff>
    </xdr:to>
    <mc:AlternateContent xmlns:mc="http://schemas.openxmlformats.org/markup-compatibility/2006">
      <mc:Choice xmlns:tsle="http://schemas.microsoft.com/office/drawing/2012/timeslicer" Requires="tsle">
        <xdr:graphicFrame macro="">
          <xdr:nvGraphicFramePr>
            <xdr:cNvPr id="12" name="Order Date"/>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0" y="940013"/>
              <a:ext cx="2710542" cy="192869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0</xdr:col>
      <xdr:colOff>0</xdr:colOff>
      <xdr:row>16</xdr:row>
      <xdr:rowOff>62753</xdr:rowOff>
    </xdr:from>
    <xdr:to>
      <xdr:col>4</xdr:col>
      <xdr:colOff>260169</xdr:colOff>
      <xdr:row>38</xdr:row>
      <xdr:rowOff>134472</xdr:rowOff>
    </xdr:to>
    <mc:AlternateContent xmlns:mc="http://schemas.openxmlformats.org/markup-compatibility/2006">
      <mc:Choice xmlns:a14="http://schemas.microsoft.com/office/drawing/2010/main" Requires="a14">
        <xdr:graphicFrame macro="">
          <xdr:nvGraphicFramePr>
            <xdr:cNvPr id="13"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0" y="2931459"/>
              <a:ext cx="2698569" cy="40161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0</xdr:colOff>
      <xdr:row>9</xdr:row>
      <xdr:rowOff>152400</xdr:rowOff>
    </xdr:from>
    <xdr:to>
      <xdr:col>7</xdr:col>
      <xdr:colOff>609599</xdr:colOff>
      <xdr:row>12</xdr:row>
      <xdr:rowOff>0</xdr:rowOff>
    </xdr:to>
    <xdr:sp macro="" textlink="Analyze!A4">
      <xdr:nvSpPr>
        <xdr:cNvPr id="14" name="TextBox 13"/>
        <xdr:cNvSpPr txBox="1"/>
      </xdr:nvSpPr>
      <xdr:spPr>
        <a:xfrm>
          <a:off x="3048000" y="1766047"/>
          <a:ext cx="1828799" cy="385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952D36-0D1A-4D66-A194-E0452BDEDA5F}" type="TxLink">
            <a:rPr lang="en-US" sz="1500" b="1" i="0" u="none" strike="noStrike">
              <a:solidFill>
                <a:srgbClr val="000000"/>
              </a:solidFill>
              <a:latin typeface="Calibri"/>
              <a:ea typeface="Calibri"/>
              <a:cs typeface="Calibri"/>
            </a:rPr>
            <a:pPr algn="ctr"/>
            <a:t> $30,765.20 </a:t>
          </a:fld>
          <a:endParaRPr lang="en-IN" sz="1500" b="1"/>
        </a:p>
      </xdr:txBody>
    </xdr:sp>
    <xdr:clientData/>
  </xdr:twoCellAnchor>
  <xdr:twoCellAnchor>
    <xdr:from>
      <xdr:col>11</xdr:col>
      <xdr:colOff>0</xdr:colOff>
      <xdr:row>9</xdr:row>
      <xdr:rowOff>98612</xdr:rowOff>
    </xdr:from>
    <xdr:to>
      <xdr:col>13</xdr:col>
      <xdr:colOff>609599</xdr:colOff>
      <xdr:row>11</xdr:row>
      <xdr:rowOff>125506</xdr:rowOff>
    </xdr:to>
    <xdr:sp macro="" textlink="Analyze!A4">
      <xdr:nvSpPr>
        <xdr:cNvPr id="15" name="TextBox 14"/>
        <xdr:cNvSpPr txBox="1"/>
      </xdr:nvSpPr>
      <xdr:spPr>
        <a:xfrm>
          <a:off x="6705600" y="1712259"/>
          <a:ext cx="1828799" cy="385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952D36-0D1A-4D66-A194-E0452BDEDA5F}" type="TxLink">
            <a:rPr lang="en-US" sz="1500" b="1" i="0" u="none" strike="noStrike">
              <a:solidFill>
                <a:srgbClr val="000000"/>
              </a:solidFill>
              <a:latin typeface="Calibri"/>
              <a:ea typeface="Calibri"/>
              <a:cs typeface="Calibri"/>
            </a:rPr>
            <a:pPr algn="ctr"/>
            <a:t> $30,765.20 </a:t>
          </a:fld>
          <a:endParaRPr lang="en-IN" sz="1500" b="1"/>
        </a:p>
      </xdr:txBody>
    </xdr:sp>
    <xdr:clientData/>
  </xdr:twoCellAnchor>
  <xdr:twoCellAnchor>
    <xdr:from>
      <xdr:col>16</xdr:col>
      <xdr:colOff>0</xdr:colOff>
      <xdr:row>7</xdr:row>
      <xdr:rowOff>152400</xdr:rowOff>
    </xdr:from>
    <xdr:to>
      <xdr:col>21</xdr:col>
      <xdr:colOff>0</xdr:colOff>
      <xdr:row>12</xdr:row>
      <xdr:rowOff>0</xdr:rowOff>
    </xdr:to>
    <xdr:sp macro="" textlink="Analyze!E5">
      <xdr:nvSpPr>
        <xdr:cNvPr id="16" name="TextBox 15"/>
        <xdr:cNvSpPr txBox="1"/>
      </xdr:nvSpPr>
      <xdr:spPr>
        <a:xfrm>
          <a:off x="9753600" y="1407459"/>
          <a:ext cx="3048000" cy="744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021E62-E955-424E-9CD5-AC75AFBA6552}" type="TxLink">
            <a:rPr lang="en-US" sz="1500" b="1" i="0" u="none" strike="noStrike">
              <a:solidFill>
                <a:srgbClr val="000000"/>
              </a:solidFill>
              <a:latin typeface="Calibri"/>
              <a:ea typeface="Calibri"/>
              <a:cs typeface="Calibri"/>
            </a:rPr>
            <a:pPr marL="0" indent="0" algn="ctr"/>
            <a:t>Riverside Palais Royal Lawyers Bookcase, Royale Cherry Finish</a:t>
          </a:fld>
          <a:endParaRPr lang="en-IN" sz="1500" b="1" i="0" u="none" strike="noStrike">
            <a:solidFill>
              <a:srgbClr val="000000"/>
            </a:solidFill>
            <a:latin typeface="Calibri"/>
            <a:ea typeface="Calibri"/>
            <a:cs typeface="Calibri"/>
          </a:endParaRPr>
        </a:p>
      </xdr:txBody>
    </xdr:sp>
    <xdr:clientData/>
  </xdr:twoCellAnchor>
  <xdr:twoCellAnchor>
    <xdr:from>
      <xdr:col>22</xdr:col>
      <xdr:colOff>0</xdr:colOff>
      <xdr:row>8</xdr:row>
      <xdr:rowOff>0</xdr:rowOff>
    </xdr:from>
    <xdr:to>
      <xdr:col>25</xdr:col>
      <xdr:colOff>609599</xdr:colOff>
      <xdr:row>12</xdr:row>
      <xdr:rowOff>0</xdr:rowOff>
    </xdr:to>
    <xdr:sp macro="" textlink="Analyze!N6">
      <xdr:nvSpPr>
        <xdr:cNvPr id="17" name="TextBox 16"/>
        <xdr:cNvSpPr txBox="1"/>
      </xdr:nvSpPr>
      <xdr:spPr>
        <a:xfrm>
          <a:off x="13411200" y="1434353"/>
          <a:ext cx="2438399" cy="71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8FA337-89CD-47C7-98EB-FD1A2736EA95}" type="TxLink">
            <a:rPr lang="en-US" sz="1500" b="1" i="0" u="none" strike="noStrike">
              <a:solidFill>
                <a:srgbClr val="000000"/>
              </a:solidFill>
              <a:latin typeface="Calibri"/>
              <a:ea typeface="Calibri"/>
              <a:cs typeface="Calibri"/>
            </a:rPr>
            <a:pPr marL="0" indent="0" algn="ctr"/>
            <a:t>Hon Deluxe Fabric Upholstered Stacking Chairs, Rounded Back</a:t>
          </a:fld>
          <a:endParaRPr lang="en-IN" sz="1500" b="1" i="0" u="none" strike="noStrike">
            <a:solidFill>
              <a:srgbClr val="000000"/>
            </a:solidFill>
            <a:latin typeface="Calibri"/>
            <a:ea typeface="Calibri"/>
            <a:cs typeface="Calibri"/>
          </a:endParaRPr>
        </a:p>
      </xdr:txBody>
    </xdr:sp>
    <xdr:clientData/>
  </xdr:twoCellAnchor>
  <xdr:twoCellAnchor>
    <xdr:from>
      <xdr:col>5</xdr:col>
      <xdr:colOff>0</xdr:colOff>
      <xdr:row>6</xdr:row>
      <xdr:rowOff>0</xdr:rowOff>
    </xdr:from>
    <xdr:to>
      <xdr:col>8</xdr:col>
      <xdr:colOff>0</xdr:colOff>
      <xdr:row>8</xdr:row>
      <xdr:rowOff>0</xdr:rowOff>
    </xdr:to>
    <xdr:sp macro="" textlink="">
      <xdr:nvSpPr>
        <xdr:cNvPr id="18" name="TextBox 17"/>
        <xdr:cNvSpPr txBox="1"/>
      </xdr:nvSpPr>
      <xdr:spPr>
        <a:xfrm>
          <a:off x="3048000" y="1075765"/>
          <a:ext cx="1828800" cy="358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500" b="1"/>
            <a:t>Total Sales</a:t>
          </a:r>
        </a:p>
      </xdr:txBody>
    </xdr:sp>
    <xdr:clientData/>
  </xdr:twoCellAnchor>
  <xdr:twoCellAnchor>
    <xdr:from>
      <xdr:col>11</xdr:col>
      <xdr:colOff>0</xdr:colOff>
      <xdr:row>6</xdr:row>
      <xdr:rowOff>0</xdr:rowOff>
    </xdr:from>
    <xdr:to>
      <xdr:col>14</xdr:col>
      <xdr:colOff>0</xdr:colOff>
      <xdr:row>8</xdr:row>
      <xdr:rowOff>53787</xdr:rowOff>
    </xdr:to>
    <xdr:sp macro="" textlink="">
      <xdr:nvSpPr>
        <xdr:cNvPr id="21" name="TextBox 20"/>
        <xdr:cNvSpPr txBox="1"/>
      </xdr:nvSpPr>
      <xdr:spPr>
        <a:xfrm>
          <a:off x="6705600" y="1075765"/>
          <a:ext cx="1828800" cy="412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500" b="1"/>
            <a:t>Total Profit</a:t>
          </a:r>
        </a:p>
        <a:p>
          <a:pPr algn="ctr"/>
          <a:endParaRPr lang="en-IN" sz="1500" b="1"/>
        </a:p>
      </xdr:txBody>
    </xdr:sp>
    <xdr:clientData/>
  </xdr:twoCellAnchor>
  <xdr:twoCellAnchor>
    <xdr:from>
      <xdr:col>16</xdr:col>
      <xdr:colOff>304800</xdr:colOff>
      <xdr:row>6</xdr:row>
      <xdr:rowOff>0</xdr:rowOff>
    </xdr:from>
    <xdr:to>
      <xdr:col>20</xdr:col>
      <xdr:colOff>0</xdr:colOff>
      <xdr:row>8</xdr:row>
      <xdr:rowOff>0</xdr:rowOff>
    </xdr:to>
    <xdr:sp macro="" textlink="">
      <xdr:nvSpPr>
        <xdr:cNvPr id="22" name="TextBox 21"/>
        <xdr:cNvSpPr txBox="1"/>
      </xdr:nvSpPr>
      <xdr:spPr>
        <a:xfrm>
          <a:off x="10058400" y="1075765"/>
          <a:ext cx="2133600" cy="358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500" b="1">
              <a:solidFill>
                <a:schemeClr val="dk1"/>
              </a:solidFill>
              <a:latin typeface="+mn-lt"/>
              <a:ea typeface="+mn-ea"/>
              <a:cs typeface="+mn-cs"/>
            </a:rPr>
            <a:t>Highest</a:t>
          </a:r>
          <a:r>
            <a:rPr lang="en-IN" sz="1100" baseline="0"/>
            <a:t> </a:t>
          </a:r>
          <a:r>
            <a:rPr lang="en-IN" sz="1500" b="1">
              <a:solidFill>
                <a:schemeClr val="dk1"/>
              </a:solidFill>
              <a:latin typeface="+mn-lt"/>
              <a:ea typeface="+mn-ea"/>
              <a:cs typeface="+mn-cs"/>
            </a:rPr>
            <a:t>Sales</a:t>
          </a:r>
        </a:p>
        <a:p>
          <a:pPr algn="ctr"/>
          <a:endParaRPr lang="en-IN" sz="1100"/>
        </a:p>
      </xdr:txBody>
    </xdr:sp>
    <xdr:clientData/>
  </xdr:twoCellAnchor>
  <xdr:twoCellAnchor>
    <xdr:from>
      <xdr:col>22</xdr:col>
      <xdr:colOff>0</xdr:colOff>
      <xdr:row>6</xdr:row>
      <xdr:rowOff>0</xdr:rowOff>
    </xdr:from>
    <xdr:to>
      <xdr:col>26</xdr:col>
      <xdr:colOff>0</xdr:colOff>
      <xdr:row>8</xdr:row>
      <xdr:rowOff>0</xdr:rowOff>
    </xdr:to>
    <xdr:sp macro="" textlink="">
      <xdr:nvSpPr>
        <xdr:cNvPr id="23" name="TextBox 22"/>
        <xdr:cNvSpPr txBox="1"/>
      </xdr:nvSpPr>
      <xdr:spPr>
        <a:xfrm>
          <a:off x="13411200" y="1075765"/>
          <a:ext cx="2438400" cy="358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500" b="1">
              <a:solidFill>
                <a:schemeClr val="dk1"/>
              </a:solidFill>
              <a:latin typeface="+mn-lt"/>
              <a:ea typeface="+mn-ea"/>
              <a:cs typeface="+mn-cs"/>
            </a:rPr>
            <a:t>Highest</a:t>
          </a:r>
          <a:r>
            <a:rPr lang="en-IN" sz="1100"/>
            <a:t> </a:t>
          </a:r>
          <a:r>
            <a:rPr lang="en-IN" sz="1500" b="1">
              <a:solidFill>
                <a:schemeClr val="dk1"/>
              </a:solidFill>
              <a:latin typeface="+mn-lt"/>
              <a:ea typeface="+mn-ea"/>
              <a:cs typeface="+mn-cs"/>
            </a:rPr>
            <a:t>Profit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 refreshedDate="45681.578302199072" createdVersion="5" refreshedVersion="5" minRefreshableVersion="3" recordCount="150">
  <cacheSource type="worksheet">
    <worksheetSource ref="A1:U151" sheet="Sheet1"/>
  </cacheSource>
  <cacheFields count="23">
    <cacheField name="Row ID" numFmtId="0">
      <sharedItems containsSemiMixedTypes="0" containsString="0" containsNumber="1" containsInteger="1" minValue="1" maxValue="150"/>
    </cacheField>
    <cacheField name="Order ID" numFmtId="0">
      <sharedItems/>
    </cacheField>
    <cacheField name="Order Date" numFmtId="14">
      <sharedItems containsSemiMixedTypes="0" containsNonDate="0" containsDate="1" containsString="0" minDate="2014-05-13T00:00:00" maxDate="2017-12-26T00:00:00" count="69">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sharedItems>
      <fieldGroup par="22" base="2">
        <rangePr groupBy="months" startDate="2014-05-13T00:00:00" endDate="2017-12-26T00:00:00"/>
        <groupItems count="14">
          <s v="&lt;13-05-2014"/>
          <s v="Jan"/>
          <s v="Feb"/>
          <s v="Mar"/>
          <s v="Apr"/>
          <s v="May"/>
          <s v="Jun"/>
          <s v="Jul"/>
          <s v="Aug"/>
          <s v="Sep"/>
          <s v="Oct"/>
          <s v="Nov"/>
          <s v="Dec"/>
          <s v="&gt;26-12-2017"/>
        </groupItems>
      </fieldGroup>
    </cacheField>
    <cacheField name="Ship Date" numFmtId="14">
      <sharedItems containsSemiMixedTypes="0" containsNonDate="0" containsDate="1" containsString="0" minDate="2014-05-15T00:00:00" maxDate="2017-12-31T00:00:00"/>
    </cacheField>
    <cacheField name="Ship Mode" numFmtId="0">
      <sharedItems/>
    </cacheField>
    <cacheField name="Customer ID" numFmtId="0">
      <sharedItems/>
    </cacheField>
    <cacheField name="Customer Name" numFmtId="0">
      <sharedItems count="69">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haredItems>
    </cacheField>
    <cacheField name="Segment" numFmtId="0">
      <sharedItems/>
    </cacheField>
    <cacheField name="Country" numFmtId="0">
      <sharedItems/>
    </cacheField>
    <cacheField name="City" numFmtId="0">
      <sharedItems/>
    </cacheField>
    <cacheField name="State" numFmtId="0">
      <sharedItems count="26">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haredItems>
    </cacheField>
    <cacheField name="Postal Code" numFmtId="0">
      <sharedItems containsSemiMixedTypes="0" containsString="0" containsNumber="1" containsInteger="1" minValue="10009" maxValue="98103"/>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5">
        <s v="Bookcases"/>
        <s v="Chairs"/>
        <s v="Labels"/>
        <s v="Tables"/>
        <s v="Storage"/>
        <s v="Furnishings"/>
        <s v="Art"/>
        <s v="Phones"/>
        <s v="Binders"/>
        <s v="Appliances"/>
        <s v="Paper"/>
        <s v="Accessories"/>
        <s v="Envelopes"/>
        <s v="Fasteners"/>
        <s v="Supplies"/>
      </sharedItems>
    </cacheField>
    <cacheField name="Product Name" numFmtId="0">
      <sharedItems count="142">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haredItems>
    </cacheField>
    <cacheField name="Sales" numFmtId="0">
      <sharedItems containsSemiMixedTypes="0" containsString="0" containsNumber="1" minValue="1.248" maxValue="3083.43" count="147">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1665.0522000000001" maxValue="585.55200000000002" count="149">
        <n v="41.913600000000002"/>
        <n v="219.58199999999999"/>
        <n v="6.8714000000000004"/>
        <n v="-383.03100000000001"/>
        <n v="2.5164"/>
        <n v="14.1694"/>
        <n v="1.9656"/>
        <n v="90.715199999999996"/>
        <n v="5.7824999999999998"/>
        <n v="34.47"/>
        <n v="85.309200000000004"/>
        <n v="68.356800000000007"/>
        <n v="5.4432"/>
        <n v="132.59219999999999"/>
        <n v="-123.858"/>
        <n v="-3.8159999999999998"/>
        <n v="13.317600000000001"/>
        <n v="9.99"/>
        <n v="2.4824000000000002"/>
        <n v="16.010999999999999"/>
        <n v="7.3840000000000003"/>
        <n v="5.0595999999999997"/>
        <n v="15.6884"/>
        <n v="-1.0196000000000001"/>
        <n v="240.26490000000001"/>
        <n v="4.2224000000000004"/>
        <n v="11.774100000000001"/>
        <n v="-1665.0522000000001"/>
        <n v="-7.0532000000000004"/>
        <n v="15.525"/>
        <n v="1.1015999999999999"/>
        <n v="9.7091999999999992"/>
        <n v="-5.7149999999999999"/>
        <n v="3.5459999999999998"/>
        <n v="9.9467999999999996"/>
        <n v="123.47369999999999"/>
        <n v="-147.96299999999999"/>
        <n v="35.414999999999999"/>
        <n v="-46.976399999999998"/>
        <n v="-15.147"/>
        <n v="41.756399999999999"/>
        <n v="16.5564"/>
        <n v="3.8940000000000001"/>
        <n v="9.5616000000000003"/>
        <n v="19.7714"/>
        <n v="8.2062000000000008"/>
        <n v="8.4784000000000006"/>
        <n v="4.95"/>
        <n v="6.1040000000000001"/>
        <n v="17.9634"/>
        <n v="35.334600000000002"/>
        <n v="2.9567999999999999"/>
        <n v="17.098099999999999"/>
        <n v="6.2565999999999997"/>
        <n v="298.68549999999999"/>
        <n v="52.14"/>
        <n v="15.552"/>
        <n v="7.0979999999999999"/>
        <n v="6.9888000000000003"/>
        <n v="3.3"/>
        <n v="16.361999999999998"/>
        <n v="0.84"/>
        <n v="6.1512000000000002"/>
        <n v="9.3612000000000002"/>
        <n v="68.963099999999997"/>
        <n v="22.332799999999999"/>
        <n v="-15.2225"/>
        <n v="111.30240000000001"/>
        <n v="62.988"/>
        <n v="35.663600000000002"/>
        <n v="1.7310000000000001"/>
        <n v="8.7629999999999999"/>
        <n v="-114.3912"/>
        <n v="1.2130000000000001"/>
        <n v="-18.196000000000002"/>
        <n v="-1.9343999999999999"/>
        <n v="-5.8247999999999998"/>
        <n v="2.7240000000000002"/>
        <n v="-14.475"/>
        <n v="56.203200000000002"/>
        <n v="8.0351999999999997"/>
        <n v="4.1719999999999997"/>
        <n v="6.2031000000000001"/>
        <n v="62.807499999999997"/>
        <n v="-48.954900000000002"/>
        <n v="33.215600000000002"/>
        <n v="6.7965999999999998"/>
        <n v="13.857200000000001"/>
        <n v="6.633"/>
        <n v="8.2782"/>
        <n v="3.1103999999999998"/>
        <n v="6.2207999999999997"/>
        <n v="16.535399999999999"/>
        <n v="16.150400000000001"/>
        <n v="-3.7879999999999998"/>
        <n v="40.5426"/>
        <n v="17.959199999999999"/>
        <n v="22.5852"/>
        <n v="22.618400000000001"/>
        <n v="-10.7973"/>
        <n v="-3.0396000000000001"/>
        <n v="11.720800000000001"/>
        <n v="-26.875800000000002"/>
        <n v="-3.8384999999999998"/>
        <n v="-25.817399999999999"/>
        <n v="17.601600000000001"/>
        <n v="2.0994000000000002"/>
        <n v="1.0738000000000001"/>
        <n v="67.992000000000004"/>
        <n v="10.909599999999999"/>
        <n v="22.788"/>
        <n v="13.3476"/>
        <n v="14.534800000000001"/>
        <n v="1.6519999999999999"/>
        <n v="7.4924999999999997"/>
        <n v="44.031599999999997"/>
        <n v="165.38130000000001"/>
        <n v="-115.71559999999999"/>
        <n v="18.345600000000001"/>
        <n v="13.878"/>
        <n v="63.436799999999998"/>
        <n v="51.759"/>
        <n v="19.7316"/>
        <n v="-8.5793999999999997"/>
        <n v="-407.68200000000002"/>
        <n v="-1.8308"/>
        <n v="30.498999999999999"/>
        <n v="-9.1601999999999997"/>
        <n v="26.241599999999998"/>
        <n v="-11.994"/>
        <n v="29.364000000000001"/>
        <n v="6.9732000000000003"/>
        <n v="9.6191999999999993"/>
        <n v="16.6568"/>
        <n v="3.456"/>
        <n v="1.9698"/>
        <n v="26.6616"/>
        <n v="18.446400000000001"/>
        <n v="20.697600000000001"/>
        <n v="10.35"/>
        <n v="2.3814000000000002"/>
        <n v="5.1041999999999996"/>
        <n v="68.975999999999999"/>
        <n v="218.2518"/>
        <n v="20.157900000000001"/>
        <n v="12.909599999999999"/>
        <n v="103.8015"/>
        <n v="5.9988000000000001"/>
        <n v="585.55200000000002"/>
      </sharedItems>
    </cacheField>
    <cacheField name="Quarters" numFmtId="0" databaseField="0">
      <fieldGroup base="2">
        <rangePr groupBy="quarters" startDate="2014-05-13T00:00:00" endDate="2017-12-26T00:00:00"/>
        <groupItems count="6">
          <s v="&lt;13-05-2014"/>
          <s v="Qtr1"/>
          <s v="Qtr2"/>
          <s v="Qtr3"/>
          <s v="Qtr4"/>
          <s v="&gt;26-12-2017"/>
        </groupItems>
      </fieldGroup>
    </cacheField>
    <cacheField name="Years" numFmtId="0" databaseField="0">
      <fieldGroup base="2">
        <rangePr groupBy="years" startDate="2014-05-13T00:00:00" endDate="2017-12-26T00:00:00"/>
        <groupItems count="6">
          <s v="&lt;13-05-2014"/>
          <s v="2014"/>
          <s v="2015"/>
          <s v="2016"/>
          <s v="2017"/>
          <s v="&gt;26-12-2017"/>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0">
  <r>
    <n v="1"/>
    <s v="CA-2016-152156"/>
    <x v="0"/>
    <d v="2016-11-11T00:00:00"/>
    <s v="Second Class"/>
    <s v="CG-12520"/>
    <x v="0"/>
    <s v="Consumer"/>
    <s v="United States"/>
    <s v="Henderson"/>
    <x v="0"/>
    <n v="42420"/>
    <x v="0"/>
    <s v="FUR-BO-10001798"/>
    <x v="0"/>
    <x v="0"/>
    <x v="0"/>
    <x v="0"/>
    <n v="2"/>
    <n v="0"/>
    <x v="0"/>
  </r>
  <r>
    <n v="2"/>
    <s v="CA-2016-152156"/>
    <x v="0"/>
    <d v="2016-11-11T00:00:00"/>
    <s v="Second Class"/>
    <s v="CG-12520"/>
    <x v="0"/>
    <s v="Consumer"/>
    <s v="United States"/>
    <s v="Henderson"/>
    <x v="0"/>
    <n v="42420"/>
    <x v="0"/>
    <s v="FUR-CH-10000454"/>
    <x v="0"/>
    <x v="1"/>
    <x v="1"/>
    <x v="1"/>
    <n v="3"/>
    <n v="0"/>
    <x v="1"/>
  </r>
  <r>
    <n v="3"/>
    <s v="CA-2016-138688"/>
    <x v="1"/>
    <d v="2016-06-16T00:00:00"/>
    <s v="Second Class"/>
    <s v="DV-13045"/>
    <x v="1"/>
    <s v="Corporate"/>
    <s v="United States"/>
    <s v="Los Angeles"/>
    <x v="1"/>
    <n v="90036"/>
    <x v="1"/>
    <s v="OFF-LA-10000240"/>
    <x v="1"/>
    <x v="2"/>
    <x v="2"/>
    <x v="2"/>
    <n v="2"/>
    <n v="0"/>
    <x v="2"/>
  </r>
  <r>
    <n v="4"/>
    <s v="US-2015-108966"/>
    <x v="2"/>
    <d v="2015-10-18T00:00:00"/>
    <s v="Standard Class"/>
    <s v="SO-20335"/>
    <x v="2"/>
    <s v="Consumer"/>
    <s v="United States"/>
    <s v="Fort Lauderdale"/>
    <x v="2"/>
    <n v="33311"/>
    <x v="0"/>
    <s v="FUR-TA-10000577"/>
    <x v="0"/>
    <x v="3"/>
    <x v="3"/>
    <x v="3"/>
    <n v="5"/>
    <n v="0.45"/>
    <x v="3"/>
  </r>
  <r>
    <n v="5"/>
    <s v="US-2015-108966"/>
    <x v="2"/>
    <d v="2015-10-18T00:00:00"/>
    <s v="Standard Class"/>
    <s v="SO-20335"/>
    <x v="2"/>
    <s v="Consumer"/>
    <s v="United States"/>
    <s v="Fort Lauderdale"/>
    <x v="2"/>
    <n v="33311"/>
    <x v="0"/>
    <s v="OFF-ST-10000760"/>
    <x v="1"/>
    <x v="4"/>
    <x v="4"/>
    <x v="4"/>
    <n v="2"/>
    <n v="0.2"/>
    <x v="4"/>
  </r>
  <r>
    <n v="6"/>
    <s v="CA-2014-115812"/>
    <x v="3"/>
    <d v="2014-06-14T00:00:00"/>
    <s v="Standard Class"/>
    <s v="BH-11710"/>
    <x v="3"/>
    <s v="Consumer"/>
    <s v="United States"/>
    <s v="Los Angeles"/>
    <x v="1"/>
    <n v="90032"/>
    <x v="1"/>
    <s v="FUR-FU-10001487"/>
    <x v="0"/>
    <x v="5"/>
    <x v="5"/>
    <x v="5"/>
    <n v="7"/>
    <n v="0"/>
    <x v="5"/>
  </r>
  <r>
    <n v="7"/>
    <s v="CA-2014-115812"/>
    <x v="3"/>
    <d v="2014-06-14T00:00:00"/>
    <s v="Standard Class"/>
    <s v="BH-11710"/>
    <x v="3"/>
    <s v="Consumer"/>
    <s v="United States"/>
    <s v="Los Angeles"/>
    <x v="1"/>
    <n v="90032"/>
    <x v="1"/>
    <s v="OFF-AR-10002833"/>
    <x v="1"/>
    <x v="6"/>
    <x v="6"/>
    <x v="6"/>
    <n v="4"/>
    <n v="0"/>
    <x v="6"/>
  </r>
  <r>
    <n v="8"/>
    <s v="CA-2014-115812"/>
    <x v="3"/>
    <d v="2014-06-14T00:00:00"/>
    <s v="Standard Class"/>
    <s v="BH-11710"/>
    <x v="3"/>
    <s v="Consumer"/>
    <s v="United States"/>
    <s v="Los Angeles"/>
    <x v="1"/>
    <n v="90032"/>
    <x v="1"/>
    <s v="TEC-PH-10002275"/>
    <x v="2"/>
    <x v="7"/>
    <x v="7"/>
    <x v="7"/>
    <n v="6"/>
    <n v="0.2"/>
    <x v="7"/>
  </r>
  <r>
    <n v="9"/>
    <s v="CA-2014-115812"/>
    <x v="3"/>
    <d v="2014-06-14T00:00:00"/>
    <s v="Standard Class"/>
    <s v="BH-11710"/>
    <x v="3"/>
    <s v="Consumer"/>
    <s v="United States"/>
    <s v="Los Angeles"/>
    <x v="1"/>
    <n v="90032"/>
    <x v="1"/>
    <s v="OFF-BI-10003910"/>
    <x v="1"/>
    <x v="8"/>
    <x v="8"/>
    <x v="8"/>
    <n v="3"/>
    <n v="0.2"/>
    <x v="8"/>
  </r>
  <r>
    <n v="10"/>
    <s v="CA-2014-115812"/>
    <x v="3"/>
    <d v="2014-06-14T00:00:00"/>
    <s v="Standard Class"/>
    <s v="BH-11710"/>
    <x v="3"/>
    <s v="Consumer"/>
    <s v="United States"/>
    <s v="Los Angeles"/>
    <x v="1"/>
    <n v="90032"/>
    <x v="1"/>
    <s v="OFF-AP-10002892"/>
    <x v="1"/>
    <x v="9"/>
    <x v="9"/>
    <x v="9"/>
    <n v="5"/>
    <n v="0"/>
    <x v="9"/>
  </r>
  <r>
    <n v="11"/>
    <s v="CA-2014-115812"/>
    <x v="3"/>
    <d v="2014-06-14T00:00:00"/>
    <s v="Standard Class"/>
    <s v="BH-11710"/>
    <x v="3"/>
    <s v="Consumer"/>
    <s v="United States"/>
    <s v="Los Angeles"/>
    <x v="1"/>
    <n v="90032"/>
    <x v="1"/>
    <s v="FUR-TA-10001539"/>
    <x v="0"/>
    <x v="3"/>
    <x v="10"/>
    <x v="10"/>
    <n v="9"/>
    <n v="0.2"/>
    <x v="10"/>
  </r>
  <r>
    <n v="12"/>
    <s v="CA-2014-115812"/>
    <x v="3"/>
    <d v="2014-06-14T00:00:00"/>
    <s v="Standard Class"/>
    <s v="BH-11710"/>
    <x v="3"/>
    <s v="Consumer"/>
    <s v="United States"/>
    <s v="Los Angeles"/>
    <x v="1"/>
    <n v="90032"/>
    <x v="1"/>
    <s v="TEC-PH-10002033"/>
    <x v="2"/>
    <x v="7"/>
    <x v="11"/>
    <x v="11"/>
    <n v="4"/>
    <n v="0.2"/>
    <x v="11"/>
  </r>
  <r>
    <n v="13"/>
    <s v="CA-2017-114412"/>
    <x v="4"/>
    <d v="2017-04-20T00:00:00"/>
    <s v="Standard Class"/>
    <s v="AA-10480"/>
    <x v="4"/>
    <s v="Consumer"/>
    <s v="United States"/>
    <s v="Concord"/>
    <x v="3"/>
    <n v="28027"/>
    <x v="0"/>
    <s v="OFF-PA-10002365"/>
    <x v="1"/>
    <x v="10"/>
    <x v="12"/>
    <x v="12"/>
    <n v="3"/>
    <n v="0.2"/>
    <x v="12"/>
  </r>
  <r>
    <n v="14"/>
    <s v="CA-2016-161389"/>
    <x v="5"/>
    <d v="2016-12-10T00:00:00"/>
    <s v="Standard Class"/>
    <s v="IM-15070"/>
    <x v="5"/>
    <s v="Consumer"/>
    <s v="United States"/>
    <s v="Seattle"/>
    <x v="4"/>
    <n v="98103"/>
    <x v="1"/>
    <s v="OFF-BI-10003656"/>
    <x v="1"/>
    <x v="8"/>
    <x v="13"/>
    <x v="13"/>
    <n v="3"/>
    <n v="0.2"/>
    <x v="13"/>
  </r>
  <r>
    <n v="15"/>
    <s v="US-2015-118983"/>
    <x v="6"/>
    <d v="2015-11-26T00:00:00"/>
    <s v="Standard Class"/>
    <s v="HP-14815"/>
    <x v="6"/>
    <s v="Home Office"/>
    <s v="United States"/>
    <s v="Fort Worth"/>
    <x v="5"/>
    <n v="76106"/>
    <x v="2"/>
    <s v="OFF-AP-10002311"/>
    <x v="1"/>
    <x v="9"/>
    <x v="14"/>
    <x v="14"/>
    <n v="5"/>
    <n v="0.8"/>
    <x v="14"/>
  </r>
  <r>
    <n v="16"/>
    <s v="US-2015-118983"/>
    <x v="6"/>
    <d v="2015-11-26T00:00:00"/>
    <s v="Standard Class"/>
    <s v="HP-14815"/>
    <x v="6"/>
    <s v="Home Office"/>
    <s v="United States"/>
    <s v="Fort Worth"/>
    <x v="5"/>
    <n v="76106"/>
    <x v="2"/>
    <s v="OFF-BI-10000756"/>
    <x v="1"/>
    <x v="8"/>
    <x v="15"/>
    <x v="15"/>
    <n v="3"/>
    <n v="0.8"/>
    <x v="15"/>
  </r>
  <r>
    <n v="17"/>
    <s v="CA-2014-105893"/>
    <x v="7"/>
    <d v="2014-11-18T00:00:00"/>
    <s v="Standard Class"/>
    <s v="PK-19075"/>
    <x v="7"/>
    <s v="Consumer"/>
    <s v="United States"/>
    <s v="Madison"/>
    <x v="6"/>
    <n v="53711"/>
    <x v="2"/>
    <s v="OFF-ST-10004186"/>
    <x v="1"/>
    <x v="4"/>
    <x v="16"/>
    <x v="16"/>
    <n v="6"/>
    <n v="0"/>
    <x v="16"/>
  </r>
  <r>
    <n v="18"/>
    <s v="CA-2014-167164"/>
    <x v="8"/>
    <d v="2014-05-15T00:00:00"/>
    <s v="Second Class"/>
    <s v="AG-10270"/>
    <x v="8"/>
    <s v="Consumer"/>
    <s v="United States"/>
    <s v="West Jordan"/>
    <x v="7"/>
    <n v="84084"/>
    <x v="1"/>
    <s v="OFF-ST-10000107"/>
    <x v="1"/>
    <x v="4"/>
    <x v="17"/>
    <x v="17"/>
    <n v="2"/>
    <n v="0"/>
    <x v="17"/>
  </r>
  <r>
    <n v="19"/>
    <s v="CA-2014-143336"/>
    <x v="9"/>
    <d v="2014-09-01T00:00:00"/>
    <s v="Second Class"/>
    <s v="ZD-21925"/>
    <x v="9"/>
    <s v="Consumer"/>
    <s v="United States"/>
    <s v="San Francisco"/>
    <x v="1"/>
    <n v="94109"/>
    <x v="1"/>
    <s v="OFF-AR-10003056"/>
    <x v="1"/>
    <x v="6"/>
    <x v="18"/>
    <x v="18"/>
    <n v="2"/>
    <n v="0"/>
    <x v="18"/>
  </r>
  <r>
    <n v="20"/>
    <s v="CA-2014-143336"/>
    <x v="9"/>
    <d v="2014-09-01T00:00:00"/>
    <s v="Second Class"/>
    <s v="ZD-21925"/>
    <x v="9"/>
    <s v="Consumer"/>
    <s v="United States"/>
    <s v="San Francisco"/>
    <x v="1"/>
    <n v="94109"/>
    <x v="1"/>
    <s v="TEC-PH-10001949"/>
    <x v="2"/>
    <x v="7"/>
    <x v="19"/>
    <x v="19"/>
    <n v="3"/>
    <n v="0.2"/>
    <x v="19"/>
  </r>
  <r>
    <n v="21"/>
    <s v="CA-2014-143336"/>
    <x v="9"/>
    <d v="2014-09-01T00:00:00"/>
    <s v="Second Class"/>
    <s v="ZD-21925"/>
    <x v="9"/>
    <s v="Consumer"/>
    <s v="United States"/>
    <s v="San Francisco"/>
    <x v="1"/>
    <n v="94109"/>
    <x v="1"/>
    <s v="OFF-BI-10002215"/>
    <x v="1"/>
    <x v="8"/>
    <x v="20"/>
    <x v="20"/>
    <n v="4"/>
    <n v="0.2"/>
    <x v="20"/>
  </r>
  <r>
    <n v="22"/>
    <s v="CA-2016-137330"/>
    <x v="10"/>
    <d v="2016-12-13T00:00:00"/>
    <s v="Standard Class"/>
    <s v="KB-16585"/>
    <x v="10"/>
    <s v="Corporate"/>
    <s v="United States"/>
    <s v="Fremont"/>
    <x v="8"/>
    <n v="68025"/>
    <x v="2"/>
    <s v="OFF-AR-10000246"/>
    <x v="1"/>
    <x v="6"/>
    <x v="21"/>
    <x v="21"/>
    <n v="7"/>
    <n v="0"/>
    <x v="21"/>
  </r>
  <r>
    <n v="23"/>
    <s v="CA-2016-137330"/>
    <x v="10"/>
    <d v="2016-12-13T00:00:00"/>
    <s v="Standard Class"/>
    <s v="KB-16585"/>
    <x v="10"/>
    <s v="Corporate"/>
    <s v="United States"/>
    <s v="Fremont"/>
    <x v="8"/>
    <n v="68025"/>
    <x v="2"/>
    <s v="OFF-AP-10001492"/>
    <x v="1"/>
    <x v="9"/>
    <x v="22"/>
    <x v="22"/>
    <n v="7"/>
    <n v="0"/>
    <x v="22"/>
  </r>
  <r>
    <n v="24"/>
    <s v="US-2017-156909"/>
    <x v="11"/>
    <d v="2017-07-18T00:00:00"/>
    <s v="Second Class"/>
    <s v="SF-20065"/>
    <x v="11"/>
    <s v="Consumer"/>
    <s v="United States"/>
    <s v="Philadelphia"/>
    <x v="9"/>
    <n v="19140"/>
    <x v="3"/>
    <s v="FUR-CH-10002774"/>
    <x v="0"/>
    <x v="1"/>
    <x v="23"/>
    <x v="23"/>
    <n v="2"/>
    <n v="0.3"/>
    <x v="23"/>
  </r>
  <r>
    <n v="25"/>
    <s v="CA-2015-106320"/>
    <x v="12"/>
    <d v="2015-09-30T00:00:00"/>
    <s v="Standard Class"/>
    <s v="EB-13870"/>
    <x v="12"/>
    <s v="Consumer"/>
    <s v="United States"/>
    <s v="Orem"/>
    <x v="7"/>
    <n v="84057"/>
    <x v="1"/>
    <s v="FUR-TA-10000577"/>
    <x v="0"/>
    <x v="3"/>
    <x v="3"/>
    <x v="24"/>
    <n v="3"/>
    <n v="0"/>
    <x v="24"/>
  </r>
  <r>
    <n v="26"/>
    <s v="CA-2016-121755"/>
    <x v="13"/>
    <d v="2016-01-20T00:00:00"/>
    <s v="Second Class"/>
    <s v="EH-13945"/>
    <x v="13"/>
    <s v="Consumer"/>
    <s v="United States"/>
    <s v="Los Angeles"/>
    <x v="1"/>
    <n v="90049"/>
    <x v="1"/>
    <s v="OFF-BI-10001634"/>
    <x v="1"/>
    <x v="8"/>
    <x v="24"/>
    <x v="25"/>
    <n v="2"/>
    <n v="0.2"/>
    <x v="25"/>
  </r>
  <r>
    <n v="27"/>
    <s v="CA-2016-121755"/>
    <x v="13"/>
    <d v="2016-01-20T00:00:00"/>
    <s v="Second Class"/>
    <s v="EH-13945"/>
    <x v="13"/>
    <s v="Consumer"/>
    <s v="United States"/>
    <s v="Los Angeles"/>
    <x v="1"/>
    <n v="90049"/>
    <x v="1"/>
    <s v="TEC-AC-10003027"/>
    <x v="2"/>
    <x v="11"/>
    <x v="25"/>
    <x v="26"/>
    <n v="3"/>
    <n v="0"/>
    <x v="26"/>
  </r>
  <r>
    <n v="28"/>
    <s v="US-2015-150630"/>
    <x v="14"/>
    <d v="2015-09-21T00:00:00"/>
    <s v="Standard Class"/>
    <s v="TB-21520"/>
    <x v="14"/>
    <s v="Consumer"/>
    <s v="United States"/>
    <s v="Philadelphia"/>
    <x v="9"/>
    <n v="19140"/>
    <x v="3"/>
    <s v="FUR-BO-10004834"/>
    <x v="0"/>
    <x v="0"/>
    <x v="26"/>
    <x v="27"/>
    <n v="7"/>
    <n v="0.5"/>
    <x v="27"/>
  </r>
  <r>
    <n v="29"/>
    <s v="US-2015-150630"/>
    <x v="14"/>
    <d v="2015-09-21T00:00:00"/>
    <s v="Standard Class"/>
    <s v="TB-21520"/>
    <x v="14"/>
    <s v="Consumer"/>
    <s v="United States"/>
    <s v="Philadelphia"/>
    <x v="9"/>
    <n v="19140"/>
    <x v="3"/>
    <s v="OFF-BI-10000474"/>
    <x v="1"/>
    <x v="8"/>
    <x v="27"/>
    <x v="28"/>
    <n v="2"/>
    <n v="0.7"/>
    <x v="28"/>
  </r>
  <r>
    <n v="30"/>
    <s v="US-2015-150630"/>
    <x v="14"/>
    <d v="2015-09-21T00:00:00"/>
    <s v="Standard Class"/>
    <s v="TB-21520"/>
    <x v="14"/>
    <s v="Consumer"/>
    <s v="United States"/>
    <s v="Philadelphia"/>
    <x v="9"/>
    <n v="19140"/>
    <x v="3"/>
    <s v="FUR-FU-10004848"/>
    <x v="0"/>
    <x v="5"/>
    <x v="28"/>
    <x v="29"/>
    <n v="3"/>
    <n v="0.2"/>
    <x v="29"/>
  </r>
  <r>
    <n v="31"/>
    <s v="US-2015-150630"/>
    <x v="14"/>
    <d v="2015-09-21T00:00:00"/>
    <s v="Standard Class"/>
    <s v="TB-21520"/>
    <x v="14"/>
    <s v="Consumer"/>
    <s v="United States"/>
    <s v="Philadelphia"/>
    <x v="9"/>
    <n v="19140"/>
    <x v="3"/>
    <s v="OFF-EN-10001509"/>
    <x v="1"/>
    <x v="12"/>
    <x v="29"/>
    <x v="30"/>
    <n v="2"/>
    <n v="0.2"/>
    <x v="30"/>
  </r>
  <r>
    <n v="32"/>
    <s v="US-2015-150630"/>
    <x v="14"/>
    <d v="2015-09-21T00:00:00"/>
    <s v="Standard Class"/>
    <s v="TB-21520"/>
    <x v="14"/>
    <s v="Consumer"/>
    <s v="United States"/>
    <s v="Philadelphia"/>
    <x v="9"/>
    <n v="19140"/>
    <x v="3"/>
    <s v="OFF-AR-10004042"/>
    <x v="1"/>
    <x v="6"/>
    <x v="30"/>
    <x v="31"/>
    <n v="6"/>
    <n v="0.2"/>
    <x v="31"/>
  </r>
  <r>
    <n v="33"/>
    <s v="US-2015-150630"/>
    <x v="14"/>
    <d v="2015-09-21T00:00:00"/>
    <s v="Standard Class"/>
    <s v="TB-21520"/>
    <x v="14"/>
    <s v="Consumer"/>
    <s v="United States"/>
    <s v="Philadelphia"/>
    <x v="9"/>
    <n v="19140"/>
    <x v="3"/>
    <s v="OFF-BI-10001525"/>
    <x v="1"/>
    <x v="8"/>
    <x v="31"/>
    <x v="32"/>
    <n v="6"/>
    <n v="0.7"/>
    <x v="32"/>
  </r>
  <r>
    <n v="34"/>
    <s v="US-2015-150630"/>
    <x v="14"/>
    <d v="2015-09-21T00:00:00"/>
    <s v="Standard Class"/>
    <s v="TB-21520"/>
    <x v="14"/>
    <s v="Consumer"/>
    <s v="United States"/>
    <s v="Philadelphia"/>
    <x v="9"/>
    <n v="19140"/>
    <x v="3"/>
    <s v="OFF-AR-10001683"/>
    <x v="1"/>
    <x v="6"/>
    <x v="32"/>
    <x v="33"/>
    <n v="2"/>
    <n v="0.2"/>
    <x v="33"/>
  </r>
  <r>
    <n v="35"/>
    <s v="CA-2017-107727"/>
    <x v="15"/>
    <d v="2017-10-23T00:00:00"/>
    <s v="Second Class"/>
    <s v="MA-17560"/>
    <x v="15"/>
    <s v="Home Office"/>
    <s v="United States"/>
    <s v="Houston"/>
    <x v="5"/>
    <n v="77095"/>
    <x v="2"/>
    <s v="OFF-PA-10000249"/>
    <x v="1"/>
    <x v="10"/>
    <x v="33"/>
    <x v="34"/>
    <n v="3"/>
    <n v="0.2"/>
    <x v="34"/>
  </r>
  <r>
    <n v="36"/>
    <s v="CA-2016-117590"/>
    <x v="16"/>
    <d v="2016-12-10T00:00:00"/>
    <s v="First Class"/>
    <s v="GH-14485"/>
    <x v="16"/>
    <s v="Corporate"/>
    <s v="United States"/>
    <s v="Richardson"/>
    <x v="5"/>
    <n v="75080"/>
    <x v="2"/>
    <s v="TEC-PH-10004977"/>
    <x v="2"/>
    <x v="7"/>
    <x v="34"/>
    <x v="35"/>
    <n v="7"/>
    <n v="0.2"/>
    <x v="35"/>
  </r>
  <r>
    <n v="37"/>
    <s v="CA-2016-117590"/>
    <x v="16"/>
    <d v="2016-12-10T00:00:00"/>
    <s v="First Class"/>
    <s v="GH-14485"/>
    <x v="16"/>
    <s v="Corporate"/>
    <s v="United States"/>
    <s v="Richardson"/>
    <x v="5"/>
    <n v="75080"/>
    <x v="2"/>
    <s v="FUR-FU-10003664"/>
    <x v="0"/>
    <x v="5"/>
    <x v="35"/>
    <x v="36"/>
    <n v="5"/>
    <n v="0.6"/>
    <x v="36"/>
  </r>
  <r>
    <n v="38"/>
    <s v="CA-2015-117415"/>
    <x v="17"/>
    <d v="2015-12-31T00:00:00"/>
    <s v="Standard Class"/>
    <s v="SN-20710"/>
    <x v="17"/>
    <s v="Home Office"/>
    <s v="United States"/>
    <s v="Houston"/>
    <x v="5"/>
    <n v="77041"/>
    <x v="2"/>
    <s v="OFF-EN-10002986"/>
    <x v="1"/>
    <x v="12"/>
    <x v="36"/>
    <x v="37"/>
    <n v="9"/>
    <n v="0.2"/>
    <x v="37"/>
  </r>
  <r>
    <n v="39"/>
    <s v="CA-2015-117415"/>
    <x v="17"/>
    <d v="2015-12-31T00:00:00"/>
    <s v="Standard Class"/>
    <s v="SN-20710"/>
    <x v="17"/>
    <s v="Home Office"/>
    <s v="United States"/>
    <s v="Houston"/>
    <x v="5"/>
    <n v="77041"/>
    <x v="2"/>
    <s v="FUR-BO-10002545"/>
    <x v="0"/>
    <x v="0"/>
    <x v="37"/>
    <x v="38"/>
    <n v="3"/>
    <n v="0.32"/>
    <x v="38"/>
  </r>
  <r>
    <n v="40"/>
    <s v="CA-2015-117415"/>
    <x v="17"/>
    <d v="2015-12-31T00:00:00"/>
    <s v="Standard Class"/>
    <s v="SN-20710"/>
    <x v="17"/>
    <s v="Home Office"/>
    <s v="United States"/>
    <s v="Houston"/>
    <x v="5"/>
    <n v="77041"/>
    <x v="2"/>
    <s v="FUR-CH-10004218"/>
    <x v="0"/>
    <x v="1"/>
    <x v="38"/>
    <x v="39"/>
    <n v="3"/>
    <n v="0.3"/>
    <x v="39"/>
  </r>
  <r>
    <n v="41"/>
    <s v="CA-2015-117415"/>
    <x v="17"/>
    <d v="2015-12-31T00:00:00"/>
    <s v="Standard Class"/>
    <s v="SN-20710"/>
    <x v="17"/>
    <s v="Home Office"/>
    <s v="United States"/>
    <s v="Houston"/>
    <x v="5"/>
    <n v="77041"/>
    <x v="2"/>
    <s v="TEC-PH-10000486"/>
    <x v="2"/>
    <x v="7"/>
    <x v="39"/>
    <x v="40"/>
    <n v="4"/>
    <n v="0.2"/>
    <x v="40"/>
  </r>
  <r>
    <n v="42"/>
    <s v="CA-2017-120999"/>
    <x v="18"/>
    <d v="2017-09-15T00:00:00"/>
    <s v="Standard Class"/>
    <s v="LC-16930"/>
    <x v="18"/>
    <s v="Corporate"/>
    <s v="United States"/>
    <s v="Naperville"/>
    <x v="10"/>
    <n v="60540"/>
    <x v="2"/>
    <s v="TEC-PH-10004093"/>
    <x v="2"/>
    <x v="7"/>
    <x v="40"/>
    <x v="41"/>
    <n v="4"/>
    <n v="0.2"/>
    <x v="41"/>
  </r>
  <r>
    <n v="43"/>
    <s v="CA-2016-101343"/>
    <x v="19"/>
    <d v="2016-07-22T00:00:00"/>
    <s v="Standard Class"/>
    <s v="RA-19885"/>
    <x v="19"/>
    <s v="Corporate"/>
    <s v="United States"/>
    <s v="Los Angeles"/>
    <x v="1"/>
    <n v="90049"/>
    <x v="1"/>
    <s v="OFF-ST-10003479"/>
    <x v="1"/>
    <x v="4"/>
    <x v="41"/>
    <x v="42"/>
    <n v="2"/>
    <n v="0"/>
    <x v="42"/>
  </r>
  <r>
    <n v="44"/>
    <s v="CA-2017-139619"/>
    <x v="20"/>
    <d v="2017-09-23T00:00:00"/>
    <s v="Standard Class"/>
    <s v="ES-14080"/>
    <x v="20"/>
    <s v="Corporate"/>
    <s v="United States"/>
    <s v="Melbourne"/>
    <x v="2"/>
    <n v="32935"/>
    <x v="0"/>
    <s v="OFF-ST-10003282"/>
    <x v="1"/>
    <x v="4"/>
    <x v="42"/>
    <x v="43"/>
    <n v="2"/>
    <n v="0.2"/>
    <x v="43"/>
  </r>
  <r>
    <n v="45"/>
    <s v="CA-2016-118255"/>
    <x v="21"/>
    <d v="2016-03-13T00:00:00"/>
    <s v="First Class"/>
    <s v="ON-18715"/>
    <x v="21"/>
    <s v="Corporate"/>
    <s v="United States"/>
    <s v="Eagan"/>
    <x v="11"/>
    <n v="55122"/>
    <x v="2"/>
    <s v="TEC-AC-10000171"/>
    <x v="2"/>
    <x v="11"/>
    <x v="43"/>
    <x v="44"/>
    <n v="2"/>
    <n v="0"/>
    <x v="44"/>
  </r>
  <r>
    <n v="46"/>
    <s v="CA-2016-118255"/>
    <x v="21"/>
    <d v="2016-03-13T00:00:00"/>
    <s v="First Class"/>
    <s v="ON-18715"/>
    <x v="21"/>
    <s v="Corporate"/>
    <s v="United States"/>
    <s v="Eagan"/>
    <x v="11"/>
    <n v="55122"/>
    <x v="2"/>
    <s v="OFF-BI-10003291"/>
    <x v="1"/>
    <x v="8"/>
    <x v="44"/>
    <x v="45"/>
    <n v="2"/>
    <n v="0"/>
    <x v="45"/>
  </r>
  <r>
    <n v="47"/>
    <s v="CA-2014-146703"/>
    <x v="22"/>
    <d v="2014-10-25T00:00:00"/>
    <s v="Second Class"/>
    <s v="PO-18865"/>
    <x v="22"/>
    <s v="Consumer"/>
    <s v="United States"/>
    <s v="Westland"/>
    <x v="12"/>
    <n v="48185"/>
    <x v="2"/>
    <s v="OFF-ST-10001713"/>
    <x v="1"/>
    <x v="4"/>
    <x v="45"/>
    <x v="46"/>
    <n v="4"/>
    <n v="0"/>
    <x v="46"/>
  </r>
  <r>
    <n v="48"/>
    <s v="CA-2016-169194"/>
    <x v="23"/>
    <d v="2016-06-25T00:00:00"/>
    <s v="Standard Class"/>
    <s v="LH-16900"/>
    <x v="23"/>
    <s v="Consumer"/>
    <s v="United States"/>
    <s v="Dover"/>
    <x v="13"/>
    <n v="19901"/>
    <x v="3"/>
    <s v="TEC-AC-10002167"/>
    <x v="2"/>
    <x v="11"/>
    <x v="46"/>
    <x v="47"/>
    <n v="3"/>
    <n v="0"/>
    <x v="47"/>
  </r>
  <r>
    <n v="49"/>
    <s v="CA-2016-169194"/>
    <x v="23"/>
    <d v="2016-06-25T00:00:00"/>
    <s v="Standard Class"/>
    <s v="LH-16900"/>
    <x v="23"/>
    <s v="Consumer"/>
    <s v="United States"/>
    <s v="Dover"/>
    <x v="13"/>
    <n v="19901"/>
    <x v="3"/>
    <s v="TEC-PH-10003988"/>
    <x v="2"/>
    <x v="7"/>
    <x v="47"/>
    <x v="48"/>
    <n v="2"/>
    <n v="0"/>
    <x v="48"/>
  </r>
  <r>
    <n v="50"/>
    <s v="CA-2015-115742"/>
    <x v="24"/>
    <d v="2015-04-22T00:00:00"/>
    <s v="Standard Class"/>
    <s v="DP-13000"/>
    <x v="24"/>
    <s v="Consumer"/>
    <s v="United States"/>
    <s v="New Albany"/>
    <x v="14"/>
    <n v="47150"/>
    <x v="2"/>
    <s v="OFF-BI-10004410"/>
    <x v="1"/>
    <x v="8"/>
    <x v="48"/>
    <x v="49"/>
    <n v="6"/>
    <n v="0"/>
    <x v="49"/>
  </r>
  <r>
    <n v="51"/>
    <s v="CA-2015-115742"/>
    <x v="24"/>
    <d v="2015-04-22T00:00:00"/>
    <s v="Standard Class"/>
    <s v="DP-13000"/>
    <x v="24"/>
    <s v="Consumer"/>
    <s v="United States"/>
    <s v="New Albany"/>
    <x v="14"/>
    <n v="47150"/>
    <x v="2"/>
    <s v="OFF-LA-10002762"/>
    <x v="1"/>
    <x v="2"/>
    <x v="49"/>
    <x v="50"/>
    <n v="6"/>
    <n v="0"/>
    <x v="50"/>
  </r>
  <r>
    <n v="52"/>
    <s v="CA-2015-115742"/>
    <x v="24"/>
    <d v="2015-04-22T00:00:00"/>
    <s v="Standard Class"/>
    <s v="DP-13000"/>
    <x v="24"/>
    <s v="Consumer"/>
    <s v="United States"/>
    <s v="New Albany"/>
    <x v="14"/>
    <n v="47150"/>
    <x v="2"/>
    <s v="FUR-FU-10001706"/>
    <x v="0"/>
    <x v="5"/>
    <x v="50"/>
    <x v="51"/>
    <n v="2"/>
    <n v="0"/>
    <x v="51"/>
  </r>
  <r>
    <n v="53"/>
    <s v="CA-2015-115742"/>
    <x v="24"/>
    <d v="2015-04-22T00:00:00"/>
    <s v="Standard Class"/>
    <s v="DP-13000"/>
    <x v="24"/>
    <s v="Consumer"/>
    <s v="United States"/>
    <s v="New Albany"/>
    <x v="14"/>
    <n v="47150"/>
    <x v="2"/>
    <s v="FUR-CH-10003061"/>
    <x v="0"/>
    <x v="1"/>
    <x v="51"/>
    <x v="52"/>
    <n v="1"/>
    <n v="0"/>
    <x v="52"/>
  </r>
  <r>
    <n v="54"/>
    <s v="CA-2016-105816"/>
    <x v="25"/>
    <d v="2016-12-17T00:00:00"/>
    <s v="Standard Class"/>
    <s v="JM-15265"/>
    <x v="25"/>
    <s v="Corporate"/>
    <s v="United States"/>
    <s v="New York City"/>
    <x v="15"/>
    <n v="10024"/>
    <x v="3"/>
    <s v="OFF-FA-10000304"/>
    <x v="1"/>
    <x v="13"/>
    <x v="52"/>
    <x v="53"/>
    <n v="7"/>
    <n v="0"/>
    <x v="53"/>
  </r>
  <r>
    <n v="55"/>
    <s v="CA-2016-105816"/>
    <x v="25"/>
    <d v="2016-12-17T00:00:00"/>
    <s v="Standard Class"/>
    <s v="JM-15265"/>
    <x v="25"/>
    <s v="Corporate"/>
    <s v="United States"/>
    <s v="New York City"/>
    <x v="15"/>
    <n v="10024"/>
    <x v="3"/>
    <s v="TEC-PH-10002447"/>
    <x v="2"/>
    <x v="7"/>
    <x v="53"/>
    <x v="54"/>
    <n v="5"/>
    <n v="0"/>
    <x v="54"/>
  </r>
  <r>
    <n v="56"/>
    <s v="CA-2016-111682"/>
    <x v="26"/>
    <d v="2016-06-18T00:00:00"/>
    <s v="First Class"/>
    <s v="TB-21055"/>
    <x v="26"/>
    <s v="Consumer"/>
    <s v="United States"/>
    <s v="Troy"/>
    <x v="15"/>
    <n v="12180"/>
    <x v="3"/>
    <s v="OFF-ST-10000604"/>
    <x v="1"/>
    <x v="4"/>
    <x v="54"/>
    <x v="55"/>
    <n v="6"/>
    <n v="0"/>
    <x v="55"/>
  </r>
  <r>
    <n v="57"/>
    <s v="CA-2016-111682"/>
    <x v="26"/>
    <d v="2016-06-18T00:00:00"/>
    <s v="First Class"/>
    <s v="TB-21055"/>
    <x v="26"/>
    <s v="Consumer"/>
    <s v="United States"/>
    <s v="Troy"/>
    <x v="15"/>
    <n v="12180"/>
    <x v="3"/>
    <s v="OFF-PA-10001569"/>
    <x v="1"/>
    <x v="10"/>
    <x v="55"/>
    <x v="56"/>
    <n v="5"/>
    <n v="0"/>
    <x v="56"/>
  </r>
  <r>
    <n v="58"/>
    <s v="CA-2016-111682"/>
    <x v="26"/>
    <d v="2016-06-18T00:00:00"/>
    <s v="First Class"/>
    <s v="TB-21055"/>
    <x v="26"/>
    <s v="Consumer"/>
    <s v="United States"/>
    <s v="Troy"/>
    <x v="15"/>
    <n v="12180"/>
    <x v="3"/>
    <s v="FUR-CH-10003968"/>
    <x v="0"/>
    <x v="1"/>
    <x v="56"/>
    <x v="57"/>
    <n v="5"/>
    <n v="0.1"/>
    <x v="57"/>
  </r>
  <r>
    <n v="59"/>
    <s v="CA-2016-111682"/>
    <x v="26"/>
    <d v="2016-06-18T00:00:00"/>
    <s v="First Class"/>
    <s v="TB-21055"/>
    <x v="26"/>
    <s v="Consumer"/>
    <s v="United States"/>
    <s v="Troy"/>
    <x v="15"/>
    <n v="12180"/>
    <x v="3"/>
    <s v="OFF-PA-10000587"/>
    <x v="1"/>
    <x v="10"/>
    <x v="57"/>
    <x v="58"/>
    <n v="2"/>
    <n v="0"/>
    <x v="58"/>
  </r>
  <r>
    <n v="60"/>
    <s v="CA-2016-111682"/>
    <x v="26"/>
    <d v="2016-06-18T00:00:00"/>
    <s v="First Class"/>
    <s v="TB-21055"/>
    <x v="26"/>
    <s v="Consumer"/>
    <s v="United States"/>
    <s v="Troy"/>
    <x v="15"/>
    <n v="12180"/>
    <x v="3"/>
    <s v="TEC-AC-10002167"/>
    <x v="2"/>
    <x v="11"/>
    <x v="46"/>
    <x v="59"/>
    <n v="2"/>
    <n v="0"/>
    <x v="59"/>
  </r>
  <r>
    <n v="61"/>
    <s v="CA-2016-111682"/>
    <x v="26"/>
    <d v="2016-06-18T00:00:00"/>
    <s v="First Class"/>
    <s v="TB-21055"/>
    <x v="26"/>
    <s v="Consumer"/>
    <s v="United States"/>
    <s v="Troy"/>
    <x v="15"/>
    <n v="12180"/>
    <x v="3"/>
    <s v="OFF-BI-10001460"/>
    <x v="1"/>
    <x v="8"/>
    <x v="58"/>
    <x v="60"/>
    <n v="4"/>
    <n v="0.2"/>
    <x v="60"/>
  </r>
  <r>
    <n v="62"/>
    <s v="CA-2016-111682"/>
    <x v="26"/>
    <d v="2016-06-18T00:00:00"/>
    <s v="First Class"/>
    <s v="TB-21055"/>
    <x v="26"/>
    <s v="Consumer"/>
    <s v="United States"/>
    <s v="Troy"/>
    <x v="15"/>
    <n v="12180"/>
    <x v="3"/>
    <s v="OFF-AR-10001868"/>
    <x v="1"/>
    <x v="6"/>
    <x v="59"/>
    <x v="61"/>
    <n v="1"/>
    <n v="0"/>
    <x v="61"/>
  </r>
  <r>
    <n v="63"/>
    <s v="CA-2015-135545"/>
    <x v="27"/>
    <d v="2015-11-30T00:00:00"/>
    <s v="Standard Class"/>
    <s v="KM-16720"/>
    <x v="27"/>
    <s v="Consumer"/>
    <s v="United States"/>
    <s v="Los Angeles"/>
    <x v="1"/>
    <n v="90004"/>
    <x v="1"/>
    <s v="TEC-AC-10004633"/>
    <x v="2"/>
    <x v="11"/>
    <x v="60"/>
    <x v="62"/>
    <n v="2"/>
    <n v="0"/>
    <x v="62"/>
  </r>
  <r>
    <n v="64"/>
    <s v="CA-2015-135545"/>
    <x v="27"/>
    <d v="2015-11-30T00:00:00"/>
    <s v="Standard Class"/>
    <s v="KM-16720"/>
    <x v="27"/>
    <s v="Consumer"/>
    <s v="United States"/>
    <s v="Los Angeles"/>
    <x v="1"/>
    <n v="90004"/>
    <x v="1"/>
    <s v="OFF-BI-10001078"/>
    <x v="1"/>
    <x v="8"/>
    <x v="61"/>
    <x v="63"/>
    <n v="6"/>
    <n v="0.2"/>
    <x v="63"/>
  </r>
  <r>
    <n v="65"/>
    <s v="CA-2015-135545"/>
    <x v="27"/>
    <d v="2015-11-30T00:00:00"/>
    <s v="Standard Class"/>
    <s v="KM-16720"/>
    <x v="27"/>
    <s v="Consumer"/>
    <s v="United States"/>
    <s v="Los Angeles"/>
    <x v="1"/>
    <n v="90004"/>
    <x v="1"/>
    <s v="OFF-PA-10003892"/>
    <x v="1"/>
    <x v="10"/>
    <x v="62"/>
    <x v="64"/>
    <n v="3"/>
    <n v="0"/>
    <x v="64"/>
  </r>
  <r>
    <n v="66"/>
    <s v="CA-2015-135545"/>
    <x v="27"/>
    <d v="2015-11-30T00:00:00"/>
    <s v="Standard Class"/>
    <s v="KM-16720"/>
    <x v="27"/>
    <s v="Consumer"/>
    <s v="United States"/>
    <s v="Los Angeles"/>
    <x v="1"/>
    <n v="90004"/>
    <x v="1"/>
    <s v="FUR-FU-10000397"/>
    <x v="0"/>
    <x v="5"/>
    <x v="63"/>
    <x v="65"/>
    <n v="4"/>
    <n v="0"/>
    <x v="65"/>
  </r>
  <r>
    <n v="67"/>
    <s v="US-2015-164175"/>
    <x v="28"/>
    <d v="2015-05-05T00:00:00"/>
    <s v="Standard Class"/>
    <s v="PS-18970"/>
    <x v="28"/>
    <s v="Home Office"/>
    <s v="United States"/>
    <s v="Chicago"/>
    <x v="10"/>
    <n v="60610"/>
    <x v="2"/>
    <s v="FUR-CH-10001146"/>
    <x v="0"/>
    <x v="1"/>
    <x v="64"/>
    <x v="66"/>
    <n v="5"/>
    <n v="0.3"/>
    <x v="66"/>
  </r>
  <r>
    <n v="68"/>
    <s v="CA-2014-106376"/>
    <x v="29"/>
    <d v="2014-12-10T00:00:00"/>
    <s v="Standard Class"/>
    <s v="BS-11590"/>
    <x v="29"/>
    <s v="Corporate"/>
    <s v="United States"/>
    <s v="Gilbert"/>
    <x v="16"/>
    <n v="85234"/>
    <x v="1"/>
    <s v="OFF-AR-10002671"/>
    <x v="1"/>
    <x v="6"/>
    <x v="65"/>
    <x v="67"/>
    <n v="8"/>
    <n v="0.2"/>
    <x v="67"/>
  </r>
  <r>
    <n v="69"/>
    <s v="CA-2014-106376"/>
    <x v="29"/>
    <d v="2014-12-10T00:00:00"/>
    <s v="Standard Class"/>
    <s v="BS-11590"/>
    <x v="29"/>
    <s v="Corporate"/>
    <s v="United States"/>
    <s v="Gilbert"/>
    <x v="16"/>
    <n v="85234"/>
    <x v="1"/>
    <s v="TEC-PH-10002726"/>
    <x v="2"/>
    <x v="7"/>
    <x v="66"/>
    <x v="68"/>
    <n v="4"/>
    <n v="0.2"/>
    <x v="68"/>
  </r>
  <r>
    <n v="70"/>
    <s v="CA-2016-119823"/>
    <x v="30"/>
    <d v="2016-06-06T00:00:00"/>
    <s v="First Class"/>
    <s v="KD-16270"/>
    <x v="30"/>
    <s v="Consumer"/>
    <s v="United States"/>
    <s v="Springfield"/>
    <x v="17"/>
    <n v="22153"/>
    <x v="0"/>
    <s v="OFF-PA-10000482"/>
    <x v="1"/>
    <x v="10"/>
    <x v="67"/>
    <x v="69"/>
    <n v="2"/>
    <n v="0"/>
    <x v="69"/>
  </r>
  <r>
    <n v="71"/>
    <s v="CA-2016-106075"/>
    <x v="31"/>
    <d v="2016-09-23T00:00:00"/>
    <s v="Standard Class"/>
    <s v="HM-14980"/>
    <x v="31"/>
    <s v="Consumer"/>
    <s v="United States"/>
    <s v="New York City"/>
    <x v="15"/>
    <n v="10009"/>
    <x v="3"/>
    <s v="OFF-BI-10004654"/>
    <x v="1"/>
    <x v="8"/>
    <x v="68"/>
    <x v="70"/>
    <n v="1"/>
    <n v="0.2"/>
    <x v="70"/>
  </r>
  <r>
    <n v="72"/>
    <s v="CA-2017-114440"/>
    <x v="32"/>
    <d v="2017-09-17T00:00:00"/>
    <s v="Second Class"/>
    <s v="TB-21520"/>
    <x v="14"/>
    <s v="Consumer"/>
    <s v="United States"/>
    <s v="Jackson"/>
    <x v="12"/>
    <n v="49201"/>
    <x v="2"/>
    <s v="OFF-PA-10004675"/>
    <x v="1"/>
    <x v="10"/>
    <x v="69"/>
    <x v="71"/>
    <n v="3"/>
    <n v="0"/>
    <x v="71"/>
  </r>
  <r>
    <n v="73"/>
    <s v="US-2015-134026"/>
    <x v="33"/>
    <d v="2015-05-02T00:00:00"/>
    <s v="Standard Class"/>
    <s v="JE-15745"/>
    <x v="32"/>
    <s v="Consumer"/>
    <s v="United States"/>
    <s v="Memphis"/>
    <x v="18"/>
    <n v="38109"/>
    <x v="0"/>
    <s v="FUR-CH-10000513"/>
    <x v="0"/>
    <x v="1"/>
    <x v="70"/>
    <x v="72"/>
    <n v="8"/>
    <n v="0.2"/>
    <x v="72"/>
  </r>
  <r>
    <n v="74"/>
    <s v="US-2015-134026"/>
    <x v="33"/>
    <d v="2015-05-02T00:00:00"/>
    <s v="Standard Class"/>
    <s v="JE-15745"/>
    <x v="32"/>
    <s v="Consumer"/>
    <s v="United States"/>
    <s v="Memphis"/>
    <x v="18"/>
    <n v="38109"/>
    <x v="0"/>
    <s v="FUR-FU-10003708"/>
    <x v="0"/>
    <x v="5"/>
    <x v="71"/>
    <x v="73"/>
    <n v="2"/>
    <n v="0.2"/>
    <x v="73"/>
  </r>
  <r>
    <n v="75"/>
    <s v="US-2015-134026"/>
    <x v="33"/>
    <d v="2015-05-02T00:00:00"/>
    <s v="Standard Class"/>
    <s v="JE-15745"/>
    <x v="32"/>
    <s v="Consumer"/>
    <s v="United States"/>
    <s v="Memphis"/>
    <x v="18"/>
    <n v="38109"/>
    <x v="0"/>
    <s v="OFF-ST-10004123"/>
    <x v="1"/>
    <x v="4"/>
    <x v="72"/>
    <x v="74"/>
    <n v="1"/>
    <n v="0.2"/>
    <x v="74"/>
  </r>
  <r>
    <n v="76"/>
    <s v="US-2017-118038"/>
    <x v="34"/>
    <d v="2017-12-11T00:00:00"/>
    <s v="First Class"/>
    <s v="KB-16600"/>
    <x v="33"/>
    <s v="Corporate"/>
    <s v="United States"/>
    <s v="Houston"/>
    <x v="5"/>
    <n v="77041"/>
    <x v="2"/>
    <s v="OFF-BI-10004182"/>
    <x v="1"/>
    <x v="8"/>
    <x v="73"/>
    <x v="75"/>
    <n v="3"/>
    <n v="0.8"/>
    <x v="75"/>
  </r>
  <r>
    <n v="77"/>
    <s v="US-2017-118038"/>
    <x v="34"/>
    <d v="2017-12-11T00:00:00"/>
    <s v="First Class"/>
    <s v="KB-16600"/>
    <x v="33"/>
    <s v="Corporate"/>
    <s v="United States"/>
    <s v="Houston"/>
    <x v="5"/>
    <n v="77041"/>
    <x v="2"/>
    <s v="FUR-FU-10000260"/>
    <x v="0"/>
    <x v="5"/>
    <x v="74"/>
    <x v="76"/>
    <n v="3"/>
    <n v="0.6"/>
    <x v="76"/>
  </r>
  <r>
    <n v="78"/>
    <s v="US-2017-118038"/>
    <x v="34"/>
    <d v="2017-12-11T00:00:00"/>
    <s v="First Class"/>
    <s v="KB-16600"/>
    <x v="33"/>
    <s v="Corporate"/>
    <s v="United States"/>
    <s v="Houston"/>
    <x v="5"/>
    <n v="77041"/>
    <x v="2"/>
    <s v="OFF-ST-10000615"/>
    <x v="1"/>
    <x v="4"/>
    <x v="75"/>
    <x v="77"/>
    <n v="3"/>
    <n v="0.2"/>
    <x v="77"/>
  </r>
  <r>
    <n v="79"/>
    <s v="US-2014-147606"/>
    <x v="35"/>
    <d v="2014-12-01T00:00:00"/>
    <s v="Second Class"/>
    <s v="JE-15745"/>
    <x v="32"/>
    <s v="Consumer"/>
    <s v="United States"/>
    <s v="Houston"/>
    <x v="5"/>
    <n v="77070"/>
    <x v="2"/>
    <s v="FUR-FU-10003194"/>
    <x v="0"/>
    <x v="5"/>
    <x v="76"/>
    <x v="78"/>
    <n v="5"/>
    <n v="0.6"/>
    <x v="78"/>
  </r>
  <r>
    <n v="80"/>
    <s v="CA-2016-127208"/>
    <x v="1"/>
    <d v="2016-06-15T00:00:00"/>
    <s v="First Class"/>
    <s v="SC-20770"/>
    <x v="34"/>
    <s v="Corporate"/>
    <s v="United States"/>
    <s v="Decatur"/>
    <x v="19"/>
    <n v="35601"/>
    <x v="0"/>
    <s v="OFF-AP-10002118"/>
    <x v="1"/>
    <x v="9"/>
    <x v="77"/>
    <x v="79"/>
    <n v="1"/>
    <n v="0"/>
    <x v="79"/>
  </r>
  <r>
    <n v="81"/>
    <s v="CA-2016-127208"/>
    <x v="1"/>
    <d v="2016-06-15T00:00:00"/>
    <s v="First Class"/>
    <s v="SC-20770"/>
    <x v="34"/>
    <s v="Corporate"/>
    <s v="United States"/>
    <s v="Decatur"/>
    <x v="19"/>
    <n v="35601"/>
    <x v="0"/>
    <s v="OFF-BI-10002309"/>
    <x v="1"/>
    <x v="8"/>
    <x v="78"/>
    <x v="80"/>
    <n v="3"/>
    <n v="0"/>
    <x v="80"/>
  </r>
  <r>
    <n v="82"/>
    <s v="CA-2014-139451"/>
    <x v="36"/>
    <d v="2014-10-16T00:00:00"/>
    <s v="Standard Class"/>
    <s v="DN-13690"/>
    <x v="35"/>
    <s v="Consumer"/>
    <s v="United States"/>
    <s v="San Francisco"/>
    <x v="1"/>
    <n v="94122"/>
    <x v="1"/>
    <s v="OFF-AR-10002053"/>
    <x v="1"/>
    <x v="6"/>
    <x v="79"/>
    <x v="81"/>
    <n v="5"/>
    <n v="0"/>
    <x v="81"/>
  </r>
  <r>
    <n v="83"/>
    <s v="CA-2014-139451"/>
    <x v="36"/>
    <d v="2014-10-16T00:00:00"/>
    <s v="Standard Class"/>
    <s v="DN-13690"/>
    <x v="35"/>
    <s v="Consumer"/>
    <s v="United States"/>
    <s v="San Francisco"/>
    <x v="1"/>
    <n v="94122"/>
    <x v="1"/>
    <s v="OFF-ST-10002370"/>
    <x v="1"/>
    <x v="4"/>
    <x v="80"/>
    <x v="82"/>
    <n v="1"/>
    <n v="0"/>
    <x v="82"/>
  </r>
  <r>
    <n v="84"/>
    <s v="CA-2015-149734"/>
    <x v="37"/>
    <d v="2015-09-08T00:00:00"/>
    <s v="Standard Class"/>
    <s v="JC-16105"/>
    <x v="36"/>
    <s v="Corporate"/>
    <s v="United States"/>
    <s v="Durham"/>
    <x v="3"/>
    <n v="27707"/>
    <x v="0"/>
    <s v="OFF-EN-10000927"/>
    <x v="1"/>
    <x v="12"/>
    <x v="81"/>
    <x v="83"/>
    <n v="7"/>
    <n v="0.2"/>
    <x v="83"/>
  </r>
  <r>
    <n v="85"/>
    <s v="US-2017-119662"/>
    <x v="38"/>
    <d v="2017-11-16T00:00:00"/>
    <s v="First Class"/>
    <s v="CS-12400"/>
    <x v="37"/>
    <s v="Home Office"/>
    <s v="United States"/>
    <s v="Chicago"/>
    <x v="10"/>
    <n v="60623"/>
    <x v="2"/>
    <s v="OFF-ST-10003656"/>
    <x v="1"/>
    <x v="4"/>
    <x v="82"/>
    <x v="84"/>
    <n v="3"/>
    <n v="0.2"/>
    <x v="84"/>
  </r>
  <r>
    <n v="86"/>
    <s v="CA-2017-140088"/>
    <x v="39"/>
    <d v="2017-05-30T00:00:00"/>
    <s v="Second Class"/>
    <s v="PO-18865"/>
    <x v="22"/>
    <s v="Consumer"/>
    <s v="United States"/>
    <s v="Columbia"/>
    <x v="20"/>
    <n v="29203"/>
    <x v="0"/>
    <s v="FUR-CH-10000863"/>
    <x v="0"/>
    <x v="1"/>
    <x v="83"/>
    <x v="85"/>
    <n v="2"/>
    <n v="0"/>
    <x v="85"/>
  </r>
  <r>
    <n v="87"/>
    <s v="CA-2017-155558"/>
    <x v="40"/>
    <d v="2017-11-02T00:00:00"/>
    <s v="Standard Class"/>
    <s v="PG-18895"/>
    <x v="38"/>
    <s v="Consumer"/>
    <s v="United States"/>
    <s v="Rochester"/>
    <x v="11"/>
    <n v="55901"/>
    <x v="2"/>
    <s v="TEC-AC-10001998"/>
    <x v="2"/>
    <x v="11"/>
    <x v="84"/>
    <x v="86"/>
    <n v="1"/>
    <n v="0"/>
    <x v="86"/>
  </r>
  <r>
    <n v="88"/>
    <s v="CA-2017-155558"/>
    <x v="40"/>
    <d v="2017-11-02T00:00:00"/>
    <s v="Standard Class"/>
    <s v="PG-18895"/>
    <x v="38"/>
    <s v="Consumer"/>
    <s v="United States"/>
    <s v="Rochester"/>
    <x v="11"/>
    <n v="55901"/>
    <x v="2"/>
    <s v="OFF-LA-10000134"/>
    <x v="1"/>
    <x v="2"/>
    <x v="85"/>
    <x v="51"/>
    <n v="2"/>
    <n v="0"/>
    <x v="51"/>
  </r>
  <r>
    <n v="89"/>
    <s v="CA-2016-159695"/>
    <x v="41"/>
    <d v="2016-04-10T00:00:00"/>
    <s v="Second Class"/>
    <s v="GM-14455"/>
    <x v="39"/>
    <s v="Home Office"/>
    <s v="United States"/>
    <s v="Houston"/>
    <x v="5"/>
    <n v="77095"/>
    <x v="2"/>
    <s v="OFF-ST-10003442"/>
    <x v="1"/>
    <x v="4"/>
    <x v="86"/>
    <x v="87"/>
    <n v="7"/>
    <n v="0.2"/>
    <x v="87"/>
  </r>
  <r>
    <n v="90"/>
    <s v="CA-2016-109806"/>
    <x v="42"/>
    <d v="2016-09-22T00:00:00"/>
    <s v="Standard Class"/>
    <s v="JS-15685"/>
    <x v="40"/>
    <s v="Corporate"/>
    <s v="United States"/>
    <s v="Los Angeles"/>
    <x v="1"/>
    <n v="90036"/>
    <x v="1"/>
    <s v="OFF-AR-10004930"/>
    <x v="1"/>
    <x v="6"/>
    <x v="87"/>
    <x v="88"/>
    <n v="3"/>
    <n v="0"/>
    <x v="88"/>
  </r>
  <r>
    <n v="91"/>
    <s v="CA-2016-109806"/>
    <x v="42"/>
    <d v="2016-09-22T00:00:00"/>
    <s v="Standard Class"/>
    <s v="JS-15685"/>
    <x v="40"/>
    <s v="Corporate"/>
    <s v="United States"/>
    <s v="Los Angeles"/>
    <x v="1"/>
    <n v="90036"/>
    <x v="1"/>
    <s v="TEC-PH-10004093"/>
    <x v="2"/>
    <x v="7"/>
    <x v="40"/>
    <x v="89"/>
    <n v="2"/>
    <n v="0.2"/>
    <x v="89"/>
  </r>
  <r>
    <n v="92"/>
    <s v="CA-2016-109806"/>
    <x v="42"/>
    <d v="2016-09-22T00:00:00"/>
    <s v="Standard Class"/>
    <s v="JS-15685"/>
    <x v="40"/>
    <s v="Corporate"/>
    <s v="United States"/>
    <s v="Los Angeles"/>
    <x v="1"/>
    <n v="90036"/>
    <x v="1"/>
    <s v="OFF-PA-10000304"/>
    <x v="1"/>
    <x v="10"/>
    <x v="88"/>
    <x v="90"/>
    <n v="1"/>
    <n v="0"/>
    <x v="90"/>
  </r>
  <r>
    <n v="93"/>
    <s v="CA-2015-149587"/>
    <x v="43"/>
    <d v="2015-02-05T00:00:00"/>
    <s v="Second Class"/>
    <s v="KB-16315"/>
    <x v="41"/>
    <s v="Consumer"/>
    <s v="United States"/>
    <s v="Minneapolis"/>
    <x v="11"/>
    <n v="55407"/>
    <x v="2"/>
    <s v="OFF-PA-10003177"/>
    <x v="1"/>
    <x v="10"/>
    <x v="89"/>
    <x v="91"/>
    <n v="2"/>
    <n v="0"/>
    <x v="91"/>
  </r>
  <r>
    <n v="94"/>
    <s v="CA-2015-149587"/>
    <x v="43"/>
    <d v="2015-02-05T00:00:00"/>
    <s v="Second Class"/>
    <s v="KB-16315"/>
    <x v="41"/>
    <s v="Consumer"/>
    <s v="United States"/>
    <s v="Minneapolis"/>
    <x v="11"/>
    <n v="55407"/>
    <x v="2"/>
    <s v="FUR-FU-10003799"/>
    <x v="0"/>
    <x v="5"/>
    <x v="90"/>
    <x v="92"/>
    <n v="3"/>
    <n v="0"/>
    <x v="92"/>
  </r>
  <r>
    <n v="95"/>
    <s v="CA-2015-149587"/>
    <x v="43"/>
    <d v="2015-02-05T00:00:00"/>
    <s v="Second Class"/>
    <s v="KB-16315"/>
    <x v="41"/>
    <s v="Consumer"/>
    <s v="United States"/>
    <s v="Minneapolis"/>
    <x v="11"/>
    <n v="55407"/>
    <x v="2"/>
    <s v="OFF-BI-10002852"/>
    <x v="1"/>
    <x v="8"/>
    <x v="91"/>
    <x v="93"/>
    <n v="2"/>
    <n v="0"/>
    <x v="93"/>
  </r>
  <r>
    <n v="96"/>
    <s v="US-2017-109484"/>
    <x v="44"/>
    <d v="2017-11-12T00:00:00"/>
    <s v="Standard Class"/>
    <s v="RB-19705"/>
    <x v="42"/>
    <s v="Home Office"/>
    <s v="United States"/>
    <s v="Portland"/>
    <x v="21"/>
    <n v="97206"/>
    <x v="1"/>
    <s v="OFF-BI-10004738"/>
    <x v="1"/>
    <x v="8"/>
    <x v="92"/>
    <x v="94"/>
    <n v="1"/>
    <n v="0.7"/>
    <x v="94"/>
  </r>
  <r>
    <n v="97"/>
    <s v="CA-2017-161018"/>
    <x v="45"/>
    <d v="2017-11-11T00:00:00"/>
    <s v="Second Class"/>
    <s v="PN-18775"/>
    <x v="43"/>
    <s v="Home Office"/>
    <s v="United States"/>
    <s v="New York City"/>
    <x v="15"/>
    <n v="10009"/>
    <x v="3"/>
    <s v="FUR-FU-10000629"/>
    <x v="0"/>
    <x v="5"/>
    <x v="93"/>
    <x v="95"/>
    <n v="7"/>
    <n v="0"/>
    <x v="95"/>
  </r>
  <r>
    <n v="98"/>
    <s v="CA-2017-157833"/>
    <x v="46"/>
    <d v="2017-06-20T00:00:00"/>
    <s v="First Class"/>
    <s v="KD-16345"/>
    <x v="44"/>
    <s v="Consumer"/>
    <s v="United States"/>
    <s v="San Francisco"/>
    <x v="1"/>
    <n v="94122"/>
    <x v="1"/>
    <s v="OFF-BI-10001721"/>
    <x v="1"/>
    <x v="8"/>
    <x v="94"/>
    <x v="96"/>
    <n v="3"/>
    <n v="0.2"/>
    <x v="96"/>
  </r>
  <r>
    <n v="99"/>
    <s v="CA-2016-149223"/>
    <x v="47"/>
    <d v="2016-09-11T00:00:00"/>
    <s v="Standard Class"/>
    <s v="ER-13855"/>
    <x v="45"/>
    <s v="Corporate"/>
    <s v="United States"/>
    <s v="Saint Paul"/>
    <x v="11"/>
    <n v="55106"/>
    <x v="2"/>
    <s v="OFF-AP-10000358"/>
    <x v="1"/>
    <x v="9"/>
    <x v="95"/>
    <x v="42"/>
    <n v="6"/>
    <n v="0"/>
    <x v="97"/>
  </r>
  <r>
    <n v="100"/>
    <s v="CA-2016-158568"/>
    <x v="48"/>
    <d v="2016-09-02T00:00:00"/>
    <s v="Standard Class"/>
    <s v="RB-19465"/>
    <x v="46"/>
    <s v="Home Office"/>
    <s v="United States"/>
    <s v="Chicago"/>
    <x v="10"/>
    <n v="60610"/>
    <x v="2"/>
    <s v="OFF-PA-10003256"/>
    <x v="1"/>
    <x v="10"/>
    <x v="96"/>
    <x v="97"/>
    <n v="7"/>
    <n v="0.2"/>
    <x v="98"/>
  </r>
  <r>
    <n v="101"/>
    <s v="CA-2016-158568"/>
    <x v="48"/>
    <d v="2016-09-02T00:00:00"/>
    <s v="Standard Class"/>
    <s v="RB-19465"/>
    <x v="46"/>
    <s v="Home Office"/>
    <s v="United States"/>
    <s v="Chicago"/>
    <x v="10"/>
    <n v="60610"/>
    <x v="2"/>
    <s v="TEC-AC-10001767"/>
    <x v="2"/>
    <x v="11"/>
    <x v="97"/>
    <x v="98"/>
    <n v="3"/>
    <n v="0.2"/>
    <x v="99"/>
  </r>
  <r>
    <n v="102"/>
    <s v="CA-2016-158568"/>
    <x v="48"/>
    <d v="2016-09-02T00:00:00"/>
    <s v="Standard Class"/>
    <s v="RB-19465"/>
    <x v="46"/>
    <s v="Home Office"/>
    <s v="United States"/>
    <s v="Chicago"/>
    <x v="10"/>
    <n v="60610"/>
    <x v="2"/>
    <s v="OFF-BI-10002609"/>
    <x v="1"/>
    <x v="8"/>
    <x v="98"/>
    <x v="99"/>
    <n v="3"/>
    <n v="0.8"/>
    <x v="100"/>
  </r>
  <r>
    <n v="103"/>
    <s v="CA-2016-129903"/>
    <x v="49"/>
    <d v="2016-12-04T00:00:00"/>
    <s v="Second Class"/>
    <s v="GZ-14470"/>
    <x v="47"/>
    <s v="Consumer"/>
    <s v="United States"/>
    <s v="Rochester"/>
    <x v="11"/>
    <n v="55901"/>
    <x v="2"/>
    <s v="OFF-PA-10004040"/>
    <x v="1"/>
    <x v="10"/>
    <x v="99"/>
    <x v="100"/>
    <n v="4"/>
    <n v="0"/>
    <x v="101"/>
  </r>
  <r>
    <n v="104"/>
    <s v="US-2015-156867"/>
    <x v="50"/>
    <d v="2015-11-17T00:00:00"/>
    <s v="Standard Class"/>
    <s v="LC-16870"/>
    <x v="48"/>
    <s v="Consumer"/>
    <s v="United States"/>
    <s v="Aurora"/>
    <x v="22"/>
    <n v="80013"/>
    <x v="1"/>
    <s v="TEC-AC-10001552"/>
    <x v="2"/>
    <x v="11"/>
    <x v="100"/>
    <x v="101"/>
    <n v="6"/>
    <n v="0.2"/>
    <x v="102"/>
  </r>
  <r>
    <n v="105"/>
    <s v="US-2015-156867"/>
    <x v="50"/>
    <d v="2015-11-17T00:00:00"/>
    <s v="Standard Class"/>
    <s v="LC-16870"/>
    <x v="48"/>
    <s v="Consumer"/>
    <s v="United States"/>
    <s v="Aurora"/>
    <x v="22"/>
    <n v="80013"/>
    <x v="1"/>
    <s v="FUR-FU-10004006"/>
    <x v="0"/>
    <x v="5"/>
    <x v="101"/>
    <x v="102"/>
    <n v="3"/>
    <n v="0.2"/>
    <x v="103"/>
  </r>
  <r>
    <n v="106"/>
    <s v="US-2015-156867"/>
    <x v="50"/>
    <d v="2015-11-17T00:00:00"/>
    <s v="Standard Class"/>
    <s v="LC-16870"/>
    <x v="48"/>
    <s v="Consumer"/>
    <s v="United States"/>
    <s v="Aurora"/>
    <x v="22"/>
    <n v="80013"/>
    <x v="1"/>
    <s v="OFF-BI-10002794"/>
    <x v="1"/>
    <x v="8"/>
    <x v="102"/>
    <x v="103"/>
    <n v="3"/>
    <n v="0.7"/>
    <x v="104"/>
  </r>
  <r>
    <n v="107"/>
    <s v="CA-2017-119004"/>
    <x v="51"/>
    <d v="2017-11-28T00:00:00"/>
    <s v="Standard Class"/>
    <s v="JM-15250"/>
    <x v="49"/>
    <s v="Consumer"/>
    <s v="United States"/>
    <s v="Charlotte"/>
    <x v="3"/>
    <n v="28205"/>
    <x v="0"/>
    <s v="TEC-AC-10003499"/>
    <x v="2"/>
    <x v="11"/>
    <x v="103"/>
    <x v="104"/>
    <n v="8"/>
    <n v="0.2"/>
    <x v="105"/>
  </r>
  <r>
    <n v="108"/>
    <s v="CA-2017-119004"/>
    <x v="51"/>
    <d v="2017-11-28T00:00:00"/>
    <s v="Standard Class"/>
    <s v="JM-15250"/>
    <x v="49"/>
    <s v="Consumer"/>
    <s v="United States"/>
    <s v="Charlotte"/>
    <x v="3"/>
    <n v="28205"/>
    <x v="0"/>
    <s v="TEC-PH-10002844"/>
    <x v="2"/>
    <x v="7"/>
    <x v="104"/>
    <x v="105"/>
    <n v="1"/>
    <n v="0.2"/>
    <x v="106"/>
  </r>
  <r>
    <n v="109"/>
    <s v="CA-2017-119004"/>
    <x v="51"/>
    <d v="2017-11-28T00:00:00"/>
    <s v="Standard Class"/>
    <s v="JM-15250"/>
    <x v="49"/>
    <s v="Consumer"/>
    <s v="United States"/>
    <s v="Charlotte"/>
    <x v="3"/>
    <n v="28205"/>
    <x v="0"/>
    <s v="OFF-AR-10000390"/>
    <x v="1"/>
    <x v="6"/>
    <x v="105"/>
    <x v="106"/>
    <n v="1"/>
    <n v="0.2"/>
    <x v="107"/>
  </r>
  <r>
    <n v="110"/>
    <s v="CA-2015-129476"/>
    <x v="52"/>
    <d v="2015-10-20T00:00:00"/>
    <s v="Standard Class"/>
    <s v="PA-19060"/>
    <x v="50"/>
    <s v="Home Office"/>
    <s v="United States"/>
    <s v="Orland Park"/>
    <x v="10"/>
    <n v="60462"/>
    <x v="2"/>
    <s v="TEC-AC-10000844"/>
    <x v="2"/>
    <x v="11"/>
    <x v="106"/>
    <x v="107"/>
    <n v="5"/>
    <n v="0.2"/>
    <x v="108"/>
  </r>
  <r>
    <n v="111"/>
    <s v="CA-2017-146780"/>
    <x v="53"/>
    <d v="2017-12-30T00:00:00"/>
    <s v="Standard Class"/>
    <s v="CV-12805"/>
    <x v="51"/>
    <s v="Corporate"/>
    <s v="United States"/>
    <s v="New York City"/>
    <x v="15"/>
    <n v="10035"/>
    <x v="3"/>
    <s v="FUR-FU-10001934"/>
    <x v="0"/>
    <x v="5"/>
    <x v="107"/>
    <x v="108"/>
    <n v="2"/>
    <n v="0"/>
    <x v="109"/>
  </r>
  <r>
    <n v="112"/>
    <s v="CA-2016-128867"/>
    <x v="54"/>
    <d v="2016-11-10T00:00:00"/>
    <s v="Standard Class"/>
    <s v="CL-12565"/>
    <x v="52"/>
    <s v="Consumer"/>
    <s v="United States"/>
    <s v="Urbandale"/>
    <x v="23"/>
    <n v="50322"/>
    <x v="2"/>
    <s v="OFF-AR-10000380"/>
    <x v="1"/>
    <x v="6"/>
    <x v="108"/>
    <x v="109"/>
    <n v="2"/>
    <n v="0"/>
    <x v="110"/>
  </r>
  <r>
    <n v="113"/>
    <s v="CA-2016-128867"/>
    <x v="54"/>
    <d v="2016-11-10T00:00:00"/>
    <s v="Standard Class"/>
    <s v="CL-12565"/>
    <x v="52"/>
    <s v="Consumer"/>
    <s v="United States"/>
    <s v="Urbandale"/>
    <x v="23"/>
    <n v="50322"/>
    <x v="2"/>
    <s v="OFF-BI-10003981"/>
    <x v="1"/>
    <x v="8"/>
    <x v="109"/>
    <x v="77"/>
    <n v="6"/>
    <n v="0"/>
    <x v="111"/>
  </r>
  <r>
    <n v="114"/>
    <s v="CA-2014-115259"/>
    <x v="55"/>
    <d v="2014-08-27T00:00:00"/>
    <s v="Second Class"/>
    <s v="RC-19960"/>
    <x v="53"/>
    <s v="Consumer"/>
    <s v="United States"/>
    <s v="Columbus"/>
    <x v="24"/>
    <n v="43229"/>
    <x v="3"/>
    <s v="OFF-FA-10000621"/>
    <x v="1"/>
    <x v="13"/>
    <x v="110"/>
    <x v="110"/>
    <n v="14"/>
    <n v="0.2"/>
    <x v="112"/>
  </r>
  <r>
    <n v="115"/>
    <s v="CA-2014-115259"/>
    <x v="55"/>
    <d v="2014-08-27T00:00:00"/>
    <s v="Second Class"/>
    <s v="RC-19960"/>
    <x v="53"/>
    <s v="Consumer"/>
    <s v="United States"/>
    <s v="Columbus"/>
    <x v="24"/>
    <n v="43229"/>
    <x v="3"/>
    <s v="OFF-EN-10002600"/>
    <x v="1"/>
    <x v="12"/>
    <x v="111"/>
    <x v="111"/>
    <n v="2"/>
    <n v="0.2"/>
    <x v="113"/>
  </r>
  <r>
    <n v="116"/>
    <s v="CA-2014-115259"/>
    <x v="55"/>
    <d v="2014-08-27T00:00:00"/>
    <s v="Second Class"/>
    <s v="RC-19960"/>
    <x v="53"/>
    <s v="Consumer"/>
    <s v="United States"/>
    <s v="Columbus"/>
    <x v="24"/>
    <n v="43229"/>
    <x v="3"/>
    <s v="OFF-PA-10004965"/>
    <x v="1"/>
    <x v="10"/>
    <x v="112"/>
    <x v="112"/>
    <n v="3"/>
    <n v="0.2"/>
    <x v="114"/>
  </r>
  <r>
    <n v="117"/>
    <s v="CA-2014-115259"/>
    <x v="55"/>
    <d v="2014-08-27T00:00:00"/>
    <s v="Second Class"/>
    <s v="RC-19960"/>
    <x v="53"/>
    <s v="Consumer"/>
    <s v="United States"/>
    <s v="Columbus"/>
    <x v="24"/>
    <n v="43229"/>
    <x v="3"/>
    <s v="OFF-EN-10002504"/>
    <x v="1"/>
    <x v="12"/>
    <x v="113"/>
    <x v="113"/>
    <n v="6"/>
    <n v="0.2"/>
    <x v="115"/>
  </r>
  <r>
    <n v="118"/>
    <s v="CA-2015-110457"/>
    <x v="56"/>
    <d v="2015-03-06T00:00:00"/>
    <s v="Standard Class"/>
    <s v="DK-13090"/>
    <x v="54"/>
    <s v="Consumer"/>
    <s v="United States"/>
    <s v="Seattle"/>
    <x v="4"/>
    <n v="98103"/>
    <x v="1"/>
    <s v="FUR-TA-10001768"/>
    <x v="0"/>
    <x v="3"/>
    <x v="114"/>
    <x v="114"/>
    <n v="3"/>
    <n v="0"/>
    <x v="116"/>
  </r>
  <r>
    <n v="119"/>
    <s v="US-2015-136476"/>
    <x v="57"/>
    <d v="2015-04-10T00:00:00"/>
    <s v="Standard Class"/>
    <s v="GG-14650"/>
    <x v="55"/>
    <s v="Corporate"/>
    <s v="United States"/>
    <s v="Bristol"/>
    <x v="18"/>
    <n v="37620"/>
    <x v="0"/>
    <s v="OFF-BI-10003650"/>
    <x v="1"/>
    <x v="8"/>
    <x v="115"/>
    <x v="115"/>
    <n v="1"/>
    <n v="0.7"/>
    <x v="117"/>
  </r>
  <r>
    <n v="120"/>
    <s v="CA-2016-103730"/>
    <x v="1"/>
    <d v="2016-06-15T00:00:00"/>
    <s v="First Class"/>
    <s v="SC-20725"/>
    <x v="56"/>
    <s v="Consumer"/>
    <s v="United States"/>
    <s v="Wilmington"/>
    <x v="13"/>
    <n v="19805"/>
    <x v="3"/>
    <s v="FUR-FU-10002157"/>
    <x v="0"/>
    <x v="5"/>
    <x v="116"/>
    <x v="116"/>
    <n v="3"/>
    <n v="0"/>
    <x v="118"/>
  </r>
  <r>
    <n v="121"/>
    <s v="CA-2016-103730"/>
    <x v="1"/>
    <d v="2016-06-15T00:00:00"/>
    <s v="First Class"/>
    <s v="SC-20725"/>
    <x v="56"/>
    <s v="Consumer"/>
    <s v="United States"/>
    <s v="Wilmington"/>
    <x v="13"/>
    <n v="19805"/>
    <x v="3"/>
    <s v="OFF-BI-10003910"/>
    <x v="1"/>
    <x v="8"/>
    <x v="8"/>
    <x v="117"/>
    <n v="4"/>
    <n v="0"/>
    <x v="119"/>
  </r>
  <r>
    <n v="122"/>
    <s v="CA-2016-103730"/>
    <x v="1"/>
    <d v="2016-06-15T00:00:00"/>
    <s v="First Class"/>
    <s v="SC-20725"/>
    <x v="56"/>
    <s v="Consumer"/>
    <s v="United States"/>
    <s v="Wilmington"/>
    <x v="13"/>
    <n v="19805"/>
    <x v="3"/>
    <s v="OFF-ST-10000777"/>
    <x v="1"/>
    <x v="4"/>
    <x v="117"/>
    <x v="118"/>
    <n v="6"/>
    <n v="0"/>
    <x v="120"/>
  </r>
  <r>
    <n v="123"/>
    <s v="CA-2016-103730"/>
    <x v="1"/>
    <d v="2016-06-15T00:00:00"/>
    <s v="First Class"/>
    <s v="SC-20725"/>
    <x v="56"/>
    <s v="Consumer"/>
    <s v="United States"/>
    <s v="Wilmington"/>
    <x v="13"/>
    <n v="19805"/>
    <x v="3"/>
    <s v="OFF-EN-10002500"/>
    <x v="1"/>
    <x v="12"/>
    <x v="118"/>
    <x v="119"/>
    <n v="9"/>
    <n v="0"/>
    <x v="121"/>
  </r>
  <r>
    <n v="124"/>
    <s v="CA-2016-103730"/>
    <x v="1"/>
    <d v="2016-06-15T00:00:00"/>
    <s v="First Class"/>
    <s v="SC-20725"/>
    <x v="56"/>
    <s v="Consumer"/>
    <s v="United States"/>
    <s v="Wilmington"/>
    <x v="13"/>
    <n v="19805"/>
    <x v="3"/>
    <s v="TEC-PH-10003875"/>
    <x v="2"/>
    <x v="7"/>
    <x v="119"/>
    <x v="120"/>
    <n v="7"/>
    <n v="0"/>
    <x v="122"/>
  </r>
  <r>
    <n v="125"/>
    <s v="US-2014-152030"/>
    <x v="58"/>
    <d v="2014-12-28T00:00:00"/>
    <s v="Second Class"/>
    <s v="AD-10180"/>
    <x v="57"/>
    <s v="Home Office"/>
    <s v="United States"/>
    <s v="Houston"/>
    <x v="5"/>
    <n v="77041"/>
    <x v="2"/>
    <s v="FUR-CH-10004063"/>
    <x v="0"/>
    <x v="1"/>
    <x v="120"/>
    <x v="121"/>
    <n v="3"/>
    <n v="0.3"/>
    <x v="123"/>
  </r>
  <r>
    <n v="126"/>
    <s v="US-2014-134614"/>
    <x v="59"/>
    <d v="2014-09-25T00:00:00"/>
    <s v="Standard Class"/>
    <s v="PF-19165"/>
    <x v="58"/>
    <s v="Consumer"/>
    <s v="United States"/>
    <s v="Bloomington"/>
    <x v="10"/>
    <n v="61701"/>
    <x v="2"/>
    <s v="FUR-TA-10004534"/>
    <x v="0"/>
    <x v="3"/>
    <x v="121"/>
    <x v="122"/>
    <n v="6"/>
    <n v="0.5"/>
    <x v="124"/>
  </r>
  <r>
    <n v="127"/>
    <s v="US-2017-107272"/>
    <x v="60"/>
    <d v="2017-11-12T00:00:00"/>
    <s v="Standard Class"/>
    <s v="TS-21610"/>
    <x v="59"/>
    <s v="Consumer"/>
    <s v="United States"/>
    <s v="Phoenix"/>
    <x v="16"/>
    <n v="85023"/>
    <x v="1"/>
    <s v="OFF-BI-10003274"/>
    <x v="1"/>
    <x v="8"/>
    <x v="122"/>
    <x v="123"/>
    <n v="2"/>
    <n v="0.7"/>
    <x v="125"/>
  </r>
  <r>
    <n v="128"/>
    <s v="US-2017-107272"/>
    <x v="60"/>
    <d v="2017-11-12T00:00:00"/>
    <s v="Standard Class"/>
    <s v="TS-21610"/>
    <x v="59"/>
    <s v="Consumer"/>
    <s v="United States"/>
    <s v="Phoenix"/>
    <x v="16"/>
    <n v="85023"/>
    <x v="1"/>
    <s v="OFF-ST-10002974"/>
    <x v="1"/>
    <x v="4"/>
    <x v="123"/>
    <x v="124"/>
    <n v="7"/>
    <n v="0.2"/>
    <x v="126"/>
  </r>
  <r>
    <n v="129"/>
    <s v="US-2016-125969"/>
    <x v="61"/>
    <d v="2016-11-10T00:00:00"/>
    <s v="Second Class"/>
    <s v="LS-16975"/>
    <x v="60"/>
    <s v="Home Office"/>
    <s v="United States"/>
    <s v="Los Angeles"/>
    <x v="1"/>
    <n v="90004"/>
    <x v="1"/>
    <s v="FUR-CH-10001146"/>
    <x v="0"/>
    <x v="1"/>
    <x v="124"/>
    <x v="125"/>
    <n v="2"/>
    <n v="0.2"/>
    <x v="127"/>
  </r>
  <r>
    <n v="130"/>
    <s v="US-2016-125969"/>
    <x v="61"/>
    <d v="2016-11-10T00:00:00"/>
    <s v="Second Class"/>
    <s v="LS-16975"/>
    <x v="60"/>
    <s v="Home Office"/>
    <s v="United States"/>
    <s v="Los Angeles"/>
    <x v="1"/>
    <n v="90004"/>
    <x v="1"/>
    <s v="FUR-FU-10003773"/>
    <x v="0"/>
    <x v="5"/>
    <x v="125"/>
    <x v="126"/>
    <n v="3"/>
    <n v="0"/>
    <x v="128"/>
  </r>
  <r>
    <n v="131"/>
    <s v="US-2017-164147"/>
    <x v="62"/>
    <d v="2017-02-05T00:00:00"/>
    <s v="First Class"/>
    <s v="DW-13585"/>
    <x v="61"/>
    <s v="Corporate"/>
    <s v="United States"/>
    <s v="Columbus"/>
    <x v="24"/>
    <n v="43229"/>
    <x v="3"/>
    <s v="TEC-PH-10002293"/>
    <x v="2"/>
    <x v="7"/>
    <x v="126"/>
    <x v="127"/>
    <n v="5"/>
    <n v="0.4"/>
    <x v="129"/>
  </r>
  <r>
    <n v="132"/>
    <s v="US-2017-164147"/>
    <x v="62"/>
    <d v="2017-02-05T00:00:00"/>
    <s v="First Class"/>
    <s v="DW-13585"/>
    <x v="61"/>
    <s v="Corporate"/>
    <s v="United States"/>
    <s v="Columbus"/>
    <x v="24"/>
    <n v="43229"/>
    <x v="3"/>
    <s v="OFF-PA-10002377"/>
    <x v="1"/>
    <x v="10"/>
    <x v="127"/>
    <x v="128"/>
    <n v="2"/>
    <n v="0.2"/>
    <x v="130"/>
  </r>
  <r>
    <n v="133"/>
    <s v="US-2017-164147"/>
    <x v="62"/>
    <d v="2017-02-05T00:00:00"/>
    <s v="First Class"/>
    <s v="DW-13585"/>
    <x v="61"/>
    <s v="Corporate"/>
    <s v="United States"/>
    <s v="Columbus"/>
    <x v="24"/>
    <n v="43229"/>
    <x v="3"/>
    <s v="OFF-FA-10002780"/>
    <x v="1"/>
    <x v="13"/>
    <x v="128"/>
    <x v="129"/>
    <n v="9"/>
    <n v="0.2"/>
    <x v="131"/>
  </r>
  <r>
    <n v="134"/>
    <s v="CA-2016-145583"/>
    <x v="63"/>
    <d v="2016-10-19T00:00:00"/>
    <s v="Standard Class"/>
    <s v="LC-16885"/>
    <x v="62"/>
    <s v="Consumer"/>
    <s v="United States"/>
    <s v="Roseville"/>
    <x v="1"/>
    <n v="95661"/>
    <x v="1"/>
    <s v="OFF-PA-10001804"/>
    <x v="1"/>
    <x v="10"/>
    <x v="129"/>
    <x v="130"/>
    <n v="3"/>
    <n v="0"/>
    <x v="132"/>
  </r>
  <r>
    <n v="135"/>
    <s v="CA-2016-145583"/>
    <x v="63"/>
    <d v="2016-10-19T00:00:00"/>
    <s v="Standard Class"/>
    <s v="LC-16885"/>
    <x v="62"/>
    <s v="Consumer"/>
    <s v="United States"/>
    <s v="Roseville"/>
    <x v="1"/>
    <n v="95661"/>
    <x v="1"/>
    <s v="OFF-PA-10001736"/>
    <x v="1"/>
    <x v="10"/>
    <x v="130"/>
    <x v="131"/>
    <n v="1"/>
    <n v="0"/>
    <x v="133"/>
  </r>
  <r>
    <n v="136"/>
    <s v="CA-2016-145583"/>
    <x v="63"/>
    <d v="2016-10-19T00:00:00"/>
    <s v="Standard Class"/>
    <s v="LC-16885"/>
    <x v="62"/>
    <s v="Consumer"/>
    <s v="United States"/>
    <s v="Roseville"/>
    <x v="1"/>
    <n v="95661"/>
    <x v="1"/>
    <s v="OFF-AR-10001149"/>
    <x v="1"/>
    <x v="6"/>
    <x v="131"/>
    <x v="132"/>
    <n v="4"/>
    <n v="0"/>
    <x v="134"/>
  </r>
  <r>
    <n v="137"/>
    <s v="CA-2016-145583"/>
    <x v="63"/>
    <d v="2016-10-19T00:00:00"/>
    <s v="Standard Class"/>
    <s v="LC-16885"/>
    <x v="62"/>
    <s v="Consumer"/>
    <s v="United States"/>
    <s v="Roseville"/>
    <x v="1"/>
    <n v="95661"/>
    <x v="1"/>
    <s v="OFF-FA-10002988"/>
    <x v="1"/>
    <x v="13"/>
    <x v="132"/>
    <x v="133"/>
    <n v="2"/>
    <n v="0"/>
    <x v="135"/>
  </r>
  <r>
    <n v="138"/>
    <s v="CA-2016-145583"/>
    <x v="63"/>
    <d v="2016-10-19T00:00:00"/>
    <s v="Standard Class"/>
    <s v="LC-16885"/>
    <x v="62"/>
    <s v="Consumer"/>
    <s v="United States"/>
    <s v="Roseville"/>
    <x v="1"/>
    <n v="95661"/>
    <x v="1"/>
    <s v="OFF-BI-10004781"/>
    <x v="1"/>
    <x v="8"/>
    <x v="133"/>
    <x v="134"/>
    <n v="3"/>
    <n v="0.2"/>
    <x v="136"/>
  </r>
  <r>
    <n v="139"/>
    <s v="CA-2016-145583"/>
    <x v="63"/>
    <d v="2016-10-19T00:00:00"/>
    <s v="Standard Class"/>
    <s v="LC-16885"/>
    <x v="62"/>
    <s v="Consumer"/>
    <s v="United States"/>
    <s v="Roseville"/>
    <x v="1"/>
    <n v="95661"/>
    <x v="1"/>
    <s v="OFF-SU-10001218"/>
    <x v="1"/>
    <x v="14"/>
    <x v="134"/>
    <x v="135"/>
    <n v="6"/>
    <n v="0"/>
    <x v="137"/>
  </r>
  <r>
    <n v="140"/>
    <s v="CA-2016-145583"/>
    <x v="63"/>
    <d v="2016-10-19T00:00:00"/>
    <s v="Standard Class"/>
    <s v="LC-16885"/>
    <x v="62"/>
    <s v="Consumer"/>
    <s v="United States"/>
    <s v="Roseville"/>
    <x v="1"/>
    <n v="95661"/>
    <x v="1"/>
    <s v="FUR-FU-10001706"/>
    <x v="0"/>
    <x v="5"/>
    <x v="50"/>
    <x v="136"/>
    <n v="14"/>
    <n v="0"/>
    <x v="138"/>
  </r>
  <r>
    <n v="141"/>
    <s v="CA-2016-110366"/>
    <x v="64"/>
    <d v="2016-09-07T00:00:00"/>
    <s v="Second Class"/>
    <s v="JD-15895"/>
    <x v="63"/>
    <s v="Corporate"/>
    <s v="United States"/>
    <s v="Philadelphia"/>
    <x v="9"/>
    <n v="19140"/>
    <x v="3"/>
    <s v="FUR-FU-10004848"/>
    <x v="0"/>
    <x v="5"/>
    <x v="28"/>
    <x v="137"/>
    <n v="2"/>
    <n v="0.2"/>
    <x v="139"/>
  </r>
  <r>
    <n v="142"/>
    <s v="CA-2017-106180"/>
    <x v="65"/>
    <d v="2017-09-23T00:00:00"/>
    <s v="Standard Class"/>
    <s v="SH-19975"/>
    <x v="64"/>
    <s v="Corporate"/>
    <s v="United States"/>
    <s v="San Francisco"/>
    <x v="1"/>
    <n v="94122"/>
    <x v="1"/>
    <s v="OFF-AR-10000940"/>
    <x v="1"/>
    <x v="6"/>
    <x v="135"/>
    <x v="138"/>
    <n v="3"/>
    <n v="0"/>
    <x v="140"/>
  </r>
  <r>
    <n v="143"/>
    <s v="CA-2017-106180"/>
    <x v="65"/>
    <d v="2017-09-23T00:00:00"/>
    <s v="Standard Class"/>
    <s v="SH-19975"/>
    <x v="64"/>
    <s v="Corporate"/>
    <s v="United States"/>
    <s v="San Francisco"/>
    <x v="1"/>
    <n v="94122"/>
    <x v="1"/>
    <s v="OFF-EN-10004030"/>
    <x v="1"/>
    <x v="12"/>
    <x v="136"/>
    <x v="139"/>
    <n v="3"/>
    <n v="0"/>
    <x v="141"/>
  </r>
  <r>
    <n v="144"/>
    <s v="CA-2017-106180"/>
    <x v="65"/>
    <d v="2017-09-23T00:00:00"/>
    <s v="Standard Class"/>
    <s v="SH-19975"/>
    <x v="64"/>
    <s v="Corporate"/>
    <s v="United States"/>
    <s v="San Francisco"/>
    <x v="1"/>
    <n v="94122"/>
    <x v="1"/>
    <s v="OFF-PA-10004327"/>
    <x v="1"/>
    <x v="10"/>
    <x v="137"/>
    <x v="140"/>
    <n v="3"/>
    <n v="0"/>
    <x v="142"/>
  </r>
  <r>
    <n v="145"/>
    <s v="CA-2017-155376"/>
    <x v="66"/>
    <d v="2017-12-27T00:00:00"/>
    <s v="Standard Class"/>
    <s v="SG-20080"/>
    <x v="65"/>
    <s v="Consumer"/>
    <s v="United States"/>
    <s v="Independence"/>
    <x v="25"/>
    <n v="64055"/>
    <x v="2"/>
    <s v="OFF-AP-10001058"/>
    <x v="1"/>
    <x v="9"/>
    <x v="138"/>
    <x v="141"/>
    <n v="3"/>
    <n v="0"/>
    <x v="143"/>
  </r>
  <r>
    <n v="146"/>
    <s v="CA-2015-110744"/>
    <x v="67"/>
    <d v="2015-09-12T00:00:00"/>
    <s v="Standard Class"/>
    <s v="HA-14920"/>
    <x v="66"/>
    <s v="Consumer"/>
    <s v="United States"/>
    <s v="Pasadena"/>
    <x v="1"/>
    <n v="91104"/>
    <x v="1"/>
    <s v="OFF-ST-10003656"/>
    <x v="1"/>
    <x v="4"/>
    <x v="82"/>
    <x v="142"/>
    <n v="7"/>
    <n v="0"/>
    <x v="144"/>
  </r>
  <r>
    <n v="147"/>
    <s v="CA-2014-110072"/>
    <x v="68"/>
    <d v="2014-10-28T00:00:00"/>
    <s v="Standard Class"/>
    <s v="MG-17680"/>
    <x v="67"/>
    <s v="Home Office"/>
    <s v="United States"/>
    <s v="Newark"/>
    <x v="24"/>
    <n v="43055"/>
    <x v="3"/>
    <s v="FUR-FU-10000521"/>
    <x v="0"/>
    <x v="5"/>
    <x v="139"/>
    <x v="143"/>
    <n v="4"/>
    <n v="0.2"/>
    <x v="145"/>
  </r>
  <r>
    <n v="148"/>
    <s v="CA-2016-114489"/>
    <x v="5"/>
    <d v="2016-12-09T00:00:00"/>
    <s v="Standard Class"/>
    <s v="JE-16165"/>
    <x v="68"/>
    <s v="Corporate"/>
    <s v="United States"/>
    <s v="Franklin"/>
    <x v="6"/>
    <n v="53132"/>
    <x v="2"/>
    <s v="TEC-PH-10000215"/>
    <x v="2"/>
    <x v="7"/>
    <x v="140"/>
    <x v="144"/>
    <n v="11"/>
    <n v="0"/>
    <x v="146"/>
  </r>
  <r>
    <n v="149"/>
    <s v="CA-2016-114489"/>
    <x v="5"/>
    <d v="2016-12-09T00:00:00"/>
    <s v="Standard Class"/>
    <s v="JE-16165"/>
    <x v="68"/>
    <s v="Corporate"/>
    <s v="United States"/>
    <s v="Franklin"/>
    <x v="6"/>
    <n v="53132"/>
    <x v="2"/>
    <s v="TEC-PH-10001448"/>
    <x v="2"/>
    <x v="7"/>
    <x v="141"/>
    <x v="145"/>
    <n v="3"/>
    <n v="0"/>
    <x v="147"/>
  </r>
  <r>
    <n v="150"/>
    <s v="CA-2016-114489"/>
    <x v="5"/>
    <d v="2016-12-09T00:00:00"/>
    <s v="Standard Class"/>
    <s v="JE-16165"/>
    <x v="68"/>
    <s v="Corporate"/>
    <s v="United States"/>
    <s v="Franklin"/>
    <x v="6"/>
    <n v="53132"/>
    <x v="2"/>
    <s v="FUR-CH-10000454"/>
    <x v="0"/>
    <x v="1"/>
    <x v="1"/>
    <x v="146"/>
    <n v="8"/>
    <n v="0"/>
    <x v="1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6">
  <location ref="A47:B52" firstHeaderRow="1"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items count="27">
        <item x="19"/>
        <item x="16"/>
        <item x="1"/>
        <item x="22"/>
        <item x="13"/>
        <item x="2"/>
        <item x="10"/>
        <item x="14"/>
        <item x="23"/>
        <item x="0"/>
        <item x="12"/>
        <item x="11"/>
        <item x="25"/>
        <item x="8"/>
        <item x="15"/>
        <item x="3"/>
        <item x="24"/>
        <item x="21"/>
        <item x="9"/>
        <item x="20"/>
        <item x="18"/>
        <item x="5"/>
        <item x="7"/>
        <item x="17"/>
        <item x="4"/>
        <item x="6"/>
        <item t="default"/>
      </items>
    </pivotField>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dataField="1" showAll="0"/>
    <pivotField showAll="0" defaultSubtotal="0">
      <items count="6">
        <item x="0"/>
        <item x="1"/>
        <item x="2"/>
        <item x="3"/>
        <item x="4"/>
        <item x="5"/>
      </items>
    </pivotField>
    <pivotField showAll="0" defaultSubtotal="0">
      <items count="6">
        <item x="0"/>
        <item x="1"/>
        <item x="2"/>
        <item x="3"/>
        <item x="4"/>
        <item x="5"/>
      </items>
    </pivotField>
  </pivotFields>
  <rowFields count="1">
    <field x="12"/>
  </rowFields>
  <rowItems count="5">
    <i>
      <x/>
    </i>
    <i>
      <x v="1"/>
    </i>
    <i>
      <x v="2"/>
    </i>
    <i>
      <x v="3"/>
    </i>
    <i t="grand">
      <x/>
    </i>
  </rowItems>
  <colItems count="1">
    <i/>
  </colItems>
  <dataFields count="1">
    <dataField name="Sum of Profit" fld="20" showDataAs="percentOfTotal" baseField="12" baseItem="0" numFmtId="10"/>
  </dataFields>
  <formats count="2">
    <format dxfId="79">
      <pivotArea outline="0" collapsedLevelsAreSubtotals="1" fieldPosition="0"/>
    </format>
    <format dxfId="78">
      <pivotArea outline="0" fieldPosition="0">
        <references count="1">
          <reference field="4294967294" count="1">
            <x v="0"/>
          </reference>
        </references>
      </pivotArea>
    </format>
  </formats>
  <chartFormats count="10">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2" count="1" selected="0">
            <x v="0"/>
          </reference>
        </references>
      </pivotArea>
    </chartFormat>
    <chartFormat chart="2" format="2">
      <pivotArea type="data" outline="0" fieldPosition="0">
        <references count="2">
          <reference field="4294967294" count="1" selected="0">
            <x v="0"/>
          </reference>
          <reference field="12" count="1" selected="0">
            <x v="1"/>
          </reference>
        </references>
      </pivotArea>
    </chartFormat>
    <chartFormat chart="2" format="3">
      <pivotArea type="data" outline="0" fieldPosition="0">
        <references count="2">
          <reference field="4294967294" count="1" selected="0">
            <x v="0"/>
          </reference>
          <reference field="12" count="1" selected="0">
            <x v="2"/>
          </reference>
        </references>
      </pivotArea>
    </chartFormat>
    <chartFormat chart="2" format="4">
      <pivotArea type="data" outline="0" fieldPosition="0">
        <references count="2">
          <reference field="4294967294" count="1" selected="0">
            <x v="0"/>
          </reference>
          <reference field="12" count="1" selected="0">
            <x v="3"/>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12" count="1" selected="0">
            <x v="0"/>
          </reference>
        </references>
      </pivotArea>
    </chartFormat>
    <chartFormat chart="5" format="12">
      <pivotArea type="data" outline="0" fieldPosition="0">
        <references count="2">
          <reference field="4294967294" count="1" selected="0">
            <x v="0"/>
          </reference>
          <reference field="12" count="1" selected="0">
            <x v="1"/>
          </reference>
        </references>
      </pivotArea>
    </chartFormat>
    <chartFormat chart="5" format="13">
      <pivotArea type="data" outline="0" fieldPosition="0">
        <references count="2">
          <reference field="4294967294" count="1" selected="0">
            <x v="0"/>
          </reference>
          <reference field="12" count="1" selected="0">
            <x v="2"/>
          </reference>
        </references>
      </pivotArea>
    </chartFormat>
    <chartFormat chart="5" format="14">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filters count="1">
    <filter fld="2" type="dateBetween" evalOrder="-1" id="72" name="Order Date">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8">
  <location ref="J28:K34" firstHeaderRow="1"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axis="axisRow" showAll="0" measureFilter="1">
      <items count="70">
        <item x="57"/>
        <item x="8"/>
        <item x="4"/>
        <item x="29"/>
        <item x="3"/>
        <item x="37"/>
        <item x="0"/>
        <item x="52"/>
        <item x="51"/>
        <item x="24"/>
        <item x="1"/>
        <item x="54"/>
        <item x="61"/>
        <item x="35"/>
        <item x="45"/>
        <item x="12"/>
        <item x="13"/>
        <item x="20"/>
        <item x="39"/>
        <item x="47"/>
        <item x="16"/>
        <item x="55"/>
        <item x="6"/>
        <item x="66"/>
        <item x="31"/>
        <item x="5"/>
        <item x="49"/>
        <item x="25"/>
        <item x="40"/>
        <item x="32"/>
        <item x="63"/>
        <item x="36"/>
        <item x="68"/>
        <item x="30"/>
        <item x="41"/>
        <item x="44"/>
        <item x="10"/>
        <item x="33"/>
        <item x="27"/>
        <item x="48"/>
        <item x="62"/>
        <item x="23"/>
        <item x="18"/>
        <item x="60"/>
        <item x="15"/>
        <item x="67"/>
        <item x="21"/>
        <item x="43"/>
        <item x="22"/>
        <item x="38"/>
        <item x="28"/>
        <item x="50"/>
        <item x="7"/>
        <item x="58"/>
        <item x="46"/>
        <item x="42"/>
        <item x="19"/>
        <item x="53"/>
        <item x="64"/>
        <item x="11"/>
        <item x="65"/>
        <item x="2"/>
        <item x="17"/>
        <item x="56"/>
        <item x="34"/>
        <item x="26"/>
        <item x="14"/>
        <item x="59"/>
        <item x="9"/>
        <item t="default"/>
      </items>
    </pivotField>
    <pivotField showAll="0"/>
    <pivotField showAll="0"/>
    <pivotField showAll="0"/>
    <pivotField showAll="0">
      <items count="27">
        <item x="19"/>
        <item x="16"/>
        <item x="1"/>
        <item x="22"/>
        <item x="13"/>
        <item x="2"/>
        <item x="10"/>
        <item x="14"/>
        <item x="23"/>
        <item x="0"/>
        <item x="12"/>
        <item x="11"/>
        <item x="25"/>
        <item x="8"/>
        <item x="15"/>
        <item x="3"/>
        <item x="24"/>
        <item x="21"/>
        <item x="9"/>
        <item x="20"/>
        <item x="18"/>
        <item x="5"/>
        <item x="7"/>
        <item x="17"/>
        <item x="4"/>
        <item x="6"/>
        <item t="default"/>
      </items>
    </pivotField>
    <pivotField showAll="0"/>
    <pivotField showAll="0"/>
    <pivotField showAll="0"/>
    <pivotField showAll="0"/>
    <pivotField showAll="0"/>
    <pivotField showAll="0"/>
    <pivotField dataField="1" multipleItemSelectionAllowed="1" showAll="0">
      <items count="148">
        <item h="1" x="75"/>
        <item h="1" x="61"/>
        <item h="1" x="99"/>
        <item h="1" x="123"/>
        <item h="1" x="15"/>
        <item h="1" x="30"/>
        <item h="1" x="106"/>
        <item h="1" x="133"/>
        <item h="1" x="70"/>
        <item h="1" x="111"/>
        <item h="1" x="94"/>
        <item h="1" x="51"/>
        <item h="1" x="90"/>
        <item h="1" x="32"/>
        <item h="1" x="6"/>
        <item h="1" x="18"/>
        <item h="1" x="138"/>
        <item h="1" x="28"/>
        <item h="1" x="76"/>
        <item h="1" x="139"/>
        <item h="1" x="132"/>
        <item h="1" x="25"/>
        <item h="1" x="91"/>
        <item h="1" x="62"/>
        <item h="1" x="58"/>
        <item h="1" x="2"/>
        <item h="1" x="81"/>
        <item h="1" x="53"/>
        <item h="1" x="12"/>
        <item h="1" x="33"/>
        <item h="1" x="80"/>
        <item h="1" x="45"/>
        <item h="1" x="8"/>
        <item h="1" x="71"/>
        <item h="1" x="78"/>
        <item h="1" x="21"/>
        <item h="1" x="86"/>
        <item h="1" x="130"/>
        <item h="1" x="88"/>
        <item h="1" x="82"/>
        <item h="1" x="129"/>
        <item h="1" x="48"/>
        <item h="1" x="4"/>
        <item h="1" x="20"/>
        <item h="1" x="100"/>
        <item h="1" x="112"/>
        <item h="1" x="63"/>
        <item h="1" x="77"/>
        <item h="1" x="105"/>
        <item h="1" x="34"/>
        <item h="1" x="59"/>
        <item h="1" x="117"/>
        <item h="1" x="56"/>
        <item h="1" x="93"/>
        <item h="1" x="131"/>
        <item h="1" x="103"/>
        <item h="1" x="49"/>
        <item h="1" x="110"/>
        <item h="1" x="108"/>
        <item h="1" x="136"/>
        <item h="1" x="47"/>
        <item h="1" x="44"/>
        <item h="1" x="116"/>
        <item h="1" x="60"/>
        <item h="1" x="5"/>
        <item h="1" x="96"/>
        <item h="1" x="92"/>
        <item h="1" x="17"/>
        <item h="1" x="127"/>
        <item h="1" x="22"/>
        <item h="1" x="97"/>
        <item h="1" x="135"/>
        <item h="1" x="120"/>
        <item h="1" x="14"/>
        <item h="1" x="23"/>
        <item h="1" x="74"/>
        <item h="1" x="89"/>
        <item h="1" x="104"/>
        <item h="1" x="50"/>
        <item h="1" x="69"/>
        <item h="1" x="109"/>
        <item h="1" x="134"/>
        <item h="1" x="42"/>
        <item h="1" x="128"/>
        <item h="1" x="65"/>
        <item h="1" x="125"/>
        <item h="1" x="137"/>
        <item h="1" x="31"/>
        <item h="1" x="52"/>
        <item h="1" x="26"/>
        <item h="1" x="143"/>
        <item h="1" x="43"/>
        <item h="1" x="98"/>
        <item h="1" x="95"/>
        <item h="1" x="73"/>
        <item h="1" x="102"/>
        <item h="1" x="37"/>
        <item h="1" x="9"/>
        <item h="1" x="119"/>
        <item h="1" x="29"/>
        <item h="1" x="113"/>
        <item h="1" x="140"/>
        <item h="1" x="64"/>
        <item h="1" x="41"/>
        <item h="1" x="145"/>
        <item h="1" x="115"/>
        <item h="1" x="87"/>
        <item h="1" x="68"/>
        <item h="1" x="36"/>
        <item h="1" x="83"/>
        <item h="1" x="79"/>
        <item h="1" x="55"/>
        <item h="1" x="46"/>
        <item h="1" x="39"/>
        <item h="1" x="66"/>
        <item h="1" x="19"/>
        <item h="1" x="118"/>
        <item h="1" x="84"/>
        <item h="1" x="126"/>
        <item h="1" x="101"/>
        <item h="1" x="124"/>
        <item h="1" x="0"/>
        <item h="1" x="85"/>
        <item h="1" x="57"/>
        <item h="1" x="107"/>
        <item h="1" x="40"/>
        <item h="1" x="144"/>
        <item h="1" x="13"/>
        <item h="1" x="38"/>
        <item h="1" x="121"/>
        <item h="1" x="122"/>
        <item h="1" x="16"/>
        <item h="1" x="142"/>
        <item h="1" x="1"/>
        <item h="1" x="114"/>
        <item h="1" x="72"/>
        <item h="1" x="141"/>
        <item h="1" x="7"/>
        <item h="1" x="11"/>
        <item h="1" x="3"/>
        <item h="1" x="54"/>
        <item h="1" x="24"/>
        <item x="35"/>
        <item x="67"/>
        <item x="10"/>
        <item x="146"/>
        <item x="27"/>
        <item t="default"/>
      </items>
    </pivotField>
    <pivotField showAll="0"/>
    <pivotField showAll="0"/>
    <pivotField showAll="0"/>
    <pivotField showAll="0" defaultSubtotal="0">
      <items count="6">
        <item x="0"/>
        <item x="1"/>
        <item x="2"/>
        <item x="3"/>
        <item x="4"/>
        <item x="5"/>
      </items>
    </pivotField>
    <pivotField showAll="0" defaultSubtotal="0">
      <items count="6">
        <item x="0"/>
        <item x="1"/>
        <item x="2"/>
        <item x="3"/>
        <item x="4"/>
        <item x="5"/>
      </items>
    </pivotField>
  </pivotFields>
  <rowFields count="1">
    <field x="6"/>
  </rowFields>
  <rowItems count="6">
    <i>
      <x v="3"/>
    </i>
    <i>
      <x v="4"/>
    </i>
    <i>
      <x v="20"/>
    </i>
    <i>
      <x v="32"/>
    </i>
    <i>
      <x v="66"/>
    </i>
    <i t="grand">
      <x/>
    </i>
  </rowItems>
  <colItems count="1">
    <i/>
  </colItems>
  <dataFields count="1">
    <dataField name="Sum of Sales" fld="17" baseField="0" baseItem="0"/>
  </dataFields>
  <formats count="1">
    <format dxfId="8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2" type="dateBetween" evalOrder="-1" id="73" name="Order Date">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 fld="6" type="count" evalOrder="-1" id="4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10">
  <location ref="J3:L22"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items count="27">
        <item x="19"/>
        <item x="16"/>
        <item x="1"/>
        <item x="22"/>
        <item x="13"/>
        <item x="2"/>
        <item x="10"/>
        <item x="14"/>
        <item x="23"/>
        <item x="0"/>
        <item x="12"/>
        <item x="11"/>
        <item x="25"/>
        <item x="8"/>
        <item x="15"/>
        <item x="3"/>
        <item x="24"/>
        <item x="21"/>
        <item x="9"/>
        <item x="20"/>
        <item x="18"/>
        <item x="5"/>
        <item x="7"/>
        <item x="17"/>
        <item x="4"/>
        <item x="6"/>
        <item t="default"/>
      </items>
    </pivotField>
    <pivotField showAll="0"/>
    <pivotField showAll="0"/>
    <pivotField showAll="0"/>
    <pivotField axis="axisRow" showAll="0">
      <items count="4">
        <item x="0"/>
        <item x="1"/>
        <item x="2"/>
        <item t="default"/>
      </items>
    </pivotField>
    <pivotField axis="axisRow" showAll="0">
      <items count="16">
        <item x="11"/>
        <item x="9"/>
        <item x="6"/>
        <item x="8"/>
        <item x="0"/>
        <item x="1"/>
        <item x="12"/>
        <item x="13"/>
        <item x="5"/>
        <item x="2"/>
        <item x="10"/>
        <item x="7"/>
        <item x="4"/>
        <item x="14"/>
        <item x="3"/>
        <item t="default"/>
      </items>
    </pivotField>
    <pivotField showAll="0"/>
    <pivotField dataField="1" showAll="0"/>
    <pivotField showAll="0"/>
    <pivotField showAll="0"/>
    <pivotField dataField="1" showAll="0"/>
    <pivotField showAll="0" defaultSubtotal="0">
      <items count="6">
        <item x="0"/>
        <item x="1"/>
        <item x="2"/>
        <item x="3"/>
        <item x="4"/>
        <item x="5"/>
      </items>
    </pivotField>
    <pivotField showAll="0" defaultSubtotal="0">
      <items count="6">
        <item x="0"/>
        <item x="1"/>
        <item x="2"/>
        <item x="3"/>
        <item x="4"/>
        <item x="5"/>
      </items>
    </pivotField>
  </pivotFields>
  <rowFields count="2">
    <field x="14"/>
    <field x="15"/>
  </rowFields>
  <rowItems count="19">
    <i>
      <x/>
    </i>
    <i r="1">
      <x v="4"/>
    </i>
    <i r="1">
      <x v="5"/>
    </i>
    <i r="1">
      <x v="8"/>
    </i>
    <i r="1">
      <x v="14"/>
    </i>
    <i>
      <x v="1"/>
    </i>
    <i r="1">
      <x v="1"/>
    </i>
    <i r="1">
      <x v="2"/>
    </i>
    <i r="1">
      <x v="3"/>
    </i>
    <i r="1">
      <x v="6"/>
    </i>
    <i r="1">
      <x v="7"/>
    </i>
    <i r="1">
      <x v="9"/>
    </i>
    <i r="1">
      <x v="10"/>
    </i>
    <i r="1">
      <x v="12"/>
    </i>
    <i r="1">
      <x v="13"/>
    </i>
    <i>
      <x v="2"/>
    </i>
    <i r="1">
      <x/>
    </i>
    <i r="1">
      <x v="11"/>
    </i>
    <i t="grand">
      <x/>
    </i>
  </rowItems>
  <colFields count="1">
    <field x="-2"/>
  </colFields>
  <colItems count="2">
    <i>
      <x/>
    </i>
    <i i="1">
      <x v="1"/>
    </i>
  </colItems>
  <dataFields count="2">
    <dataField name="Sum of Profit" fld="20" baseField="0" baseItem="0"/>
    <dataField name="Sum of Sales" fld="17" baseField="0" baseItem="0"/>
  </dataFields>
  <formats count="1">
    <format dxfId="81">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dateBetween" evalOrder="-1" id="72" name="Order Date">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E4:F6" firstHeaderRow="1"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items count="27">
        <item x="19"/>
        <item x="16"/>
        <item x="1"/>
        <item x="22"/>
        <item x="13"/>
        <item x="2"/>
        <item x="10"/>
        <item x="14"/>
        <item x="23"/>
        <item x="0"/>
        <item x="12"/>
        <item x="11"/>
        <item x="25"/>
        <item x="8"/>
        <item x="15"/>
        <item x="3"/>
        <item x="24"/>
        <item x="21"/>
        <item x="9"/>
        <item x="20"/>
        <item x="18"/>
        <item x="5"/>
        <item x="7"/>
        <item x="17"/>
        <item x="4"/>
        <item x="6"/>
        <item t="default"/>
      </items>
    </pivotField>
    <pivotField showAll="0"/>
    <pivotField showAll="0"/>
    <pivotField showAll="0"/>
    <pivotField showAll="0"/>
    <pivotField showAll="0"/>
    <pivotField axis="axisRow" showAll="0" measureFilter="1">
      <items count="143">
        <item x="36"/>
        <item x="77"/>
        <item x="74"/>
        <item x="93"/>
        <item x="31"/>
        <item x="61"/>
        <item x="22"/>
        <item x="42"/>
        <item x="52"/>
        <item x="126"/>
        <item x="141"/>
        <item x="57"/>
        <item x="116"/>
        <item x="53"/>
        <item x="37"/>
        <item x="49"/>
        <item x="85"/>
        <item x="68"/>
        <item x="109"/>
        <item x="122"/>
        <item x="78"/>
        <item x="98"/>
        <item x="96"/>
        <item x="27"/>
        <item x="102"/>
        <item x="9"/>
        <item x="121"/>
        <item x="30"/>
        <item x="3"/>
        <item x="0"/>
        <item x="10"/>
        <item x="19"/>
        <item x="48"/>
        <item x="117"/>
        <item x="136"/>
        <item x="101"/>
        <item x="8"/>
        <item x="33"/>
        <item x="73"/>
        <item x="41"/>
        <item x="125"/>
        <item x="76"/>
        <item x="5"/>
        <item x="4"/>
        <item x="86"/>
        <item x="35"/>
        <item x="95"/>
        <item x="13"/>
        <item x="17"/>
        <item x="134"/>
        <item x="92"/>
        <item x="115"/>
        <item x="133"/>
        <item x="34"/>
        <item x="120"/>
        <item x="23"/>
        <item x="38"/>
        <item x="51"/>
        <item x="124"/>
        <item x="64"/>
        <item x="118"/>
        <item x="45"/>
        <item x="70"/>
        <item x="14"/>
        <item x="54"/>
        <item x="1"/>
        <item x="114"/>
        <item x="28"/>
        <item x="65"/>
        <item x="108"/>
        <item x="91"/>
        <item x="132"/>
        <item x="46"/>
        <item x="25"/>
        <item x="81"/>
        <item x="119"/>
        <item x="11"/>
        <item x="47"/>
        <item x="100"/>
        <item x="106"/>
        <item x="84"/>
        <item x="50"/>
        <item x="32"/>
        <item x="63"/>
        <item x="107"/>
        <item x="103"/>
        <item x="7"/>
        <item x="66"/>
        <item x="21"/>
        <item x="6"/>
        <item x="18"/>
        <item x="135"/>
        <item x="105"/>
        <item x="83"/>
        <item x="56"/>
        <item x="110"/>
        <item x="40"/>
        <item x="140"/>
        <item x="39"/>
        <item x="58"/>
        <item x="29"/>
        <item x="59"/>
        <item x="79"/>
        <item x="111"/>
        <item x="26"/>
        <item x="82"/>
        <item x="72"/>
        <item x="97"/>
        <item x="131"/>
        <item x="138"/>
        <item x="2"/>
        <item x="90"/>
        <item x="139"/>
        <item x="75"/>
        <item x="67"/>
        <item x="80"/>
        <item x="104"/>
        <item x="128"/>
        <item x="15"/>
        <item x="16"/>
        <item x="69"/>
        <item x="71"/>
        <item x="123"/>
        <item x="94"/>
        <item x="87"/>
        <item x="113"/>
        <item x="99"/>
        <item x="43"/>
        <item x="60"/>
        <item x="24"/>
        <item x="20"/>
        <item x="44"/>
        <item x="130"/>
        <item x="137"/>
        <item x="127"/>
        <item x="112"/>
        <item x="62"/>
        <item x="129"/>
        <item x="12"/>
        <item x="88"/>
        <item x="89"/>
        <item x="55"/>
        <item t="default"/>
      </items>
    </pivotField>
    <pivotField dataField="1" showAll="0">
      <items count="148">
        <item x="75"/>
        <item x="61"/>
        <item x="99"/>
        <item x="123"/>
        <item x="15"/>
        <item x="30"/>
        <item x="106"/>
        <item x="133"/>
        <item x="70"/>
        <item x="111"/>
        <item x="94"/>
        <item x="51"/>
        <item x="90"/>
        <item x="32"/>
        <item x="6"/>
        <item x="18"/>
        <item x="138"/>
        <item x="28"/>
        <item x="76"/>
        <item x="139"/>
        <item x="132"/>
        <item x="25"/>
        <item x="91"/>
        <item x="62"/>
        <item x="58"/>
        <item x="2"/>
        <item x="81"/>
        <item x="53"/>
        <item x="12"/>
        <item x="33"/>
        <item x="80"/>
        <item x="45"/>
        <item x="8"/>
        <item x="71"/>
        <item x="78"/>
        <item x="21"/>
        <item x="86"/>
        <item x="130"/>
        <item x="88"/>
        <item x="82"/>
        <item x="129"/>
        <item x="48"/>
        <item x="4"/>
        <item x="20"/>
        <item x="100"/>
        <item x="112"/>
        <item x="63"/>
        <item x="77"/>
        <item x="105"/>
        <item x="34"/>
        <item x="59"/>
        <item x="117"/>
        <item x="56"/>
        <item x="93"/>
        <item x="131"/>
        <item x="103"/>
        <item x="49"/>
        <item x="110"/>
        <item x="108"/>
        <item x="136"/>
        <item x="47"/>
        <item x="44"/>
        <item x="116"/>
        <item x="60"/>
        <item x="5"/>
        <item x="96"/>
        <item x="92"/>
        <item x="17"/>
        <item x="127"/>
        <item x="22"/>
        <item x="97"/>
        <item x="135"/>
        <item x="120"/>
        <item x="14"/>
        <item x="23"/>
        <item x="74"/>
        <item x="89"/>
        <item x="104"/>
        <item x="50"/>
        <item x="69"/>
        <item x="109"/>
        <item x="134"/>
        <item x="42"/>
        <item x="128"/>
        <item x="65"/>
        <item x="125"/>
        <item x="137"/>
        <item x="31"/>
        <item x="52"/>
        <item x="26"/>
        <item x="143"/>
        <item x="43"/>
        <item x="98"/>
        <item x="95"/>
        <item x="73"/>
        <item x="102"/>
        <item x="37"/>
        <item x="9"/>
        <item x="119"/>
        <item x="29"/>
        <item x="113"/>
        <item x="140"/>
        <item x="64"/>
        <item x="41"/>
        <item x="145"/>
        <item x="115"/>
        <item x="87"/>
        <item x="68"/>
        <item x="36"/>
        <item x="83"/>
        <item x="79"/>
        <item x="55"/>
        <item x="46"/>
        <item x="39"/>
        <item x="66"/>
        <item x="19"/>
        <item x="118"/>
        <item x="84"/>
        <item x="126"/>
        <item x="101"/>
        <item x="124"/>
        <item x="0"/>
        <item x="85"/>
        <item x="57"/>
        <item x="107"/>
        <item x="40"/>
        <item x="144"/>
        <item x="13"/>
        <item x="38"/>
        <item x="121"/>
        <item x="122"/>
        <item x="16"/>
        <item x="142"/>
        <item x="1"/>
        <item x="114"/>
        <item x="72"/>
        <item x="141"/>
        <item x="7"/>
        <item x="11"/>
        <item x="3"/>
        <item x="54"/>
        <item x="24"/>
        <item x="35"/>
        <item x="67"/>
        <item x="10"/>
        <item x="146"/>
        <item x="27"/>
        <item t="default"/>
      </items>
    </pivotField>
    <pivotField showAll="0"/>
    <pivotField showAll="0"/>
    <pivotField showAll="0"/>
    <pivotField showAll="0" defaultSubtotal="0">
      <items count="6">
        <item x="0"/>
        <item x="1"/>
        <item x="2"/>
        <item x="3"/>
        <item x="4"/>
        <item x="5"/>
      </items>
    </pivotField>
    <pivotField showAll="0" defaultSubtotal="0">
      <items count="6">
        <item x="0"/>
        <item x="1"/>
        <item x="2"/>
        <item x="3"/>
        <item x="4"/>
        <item x="5"/>
      </items>
    </pivotField>
  </pivotFields>
  <rowFields count="1">
    <field x="16"/>
  </rowFields>
  <rowItems count="2">
    <i>
      <x v="104"/>
    </i>
    <i t="grand">
      <x/>
    </i>
  </rowItems>
  <colItems count="1">
    <i/>
  </colItems>
  <dataFields count="1">
    <dataField name="Sum of Sales" fld="17" baseField="0" baseItem="0"/>
  </dataFields>
  <formats count="1">
    <format dxfId="82">
      <pivotArea outline="0" collapsedLevelsAreSubtotals="1" fieldPosition="0"/>
    </format>
  </formats>
  <pivotTableStyleInfo name="PivotStyleLight16" showRowHeaders="1" showColHeaders="1" showRowStripes="0" showColStripes="0" showLastColumn="1"/>
  <filters count="2">
    <filter fld="2" type="dateBetween" evalOrder="-1" id="73" name="Order Date">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 fld="16" type="count" evalOrder="-1" id="4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N5:O7" firstHeaderRow="1"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items count="27">
        <item x="19"/>
        <item x="16"/>
        <item x="1"/>
        <item x="22"/>
        <item x="13"/>
        <item x="2"/>
        <item x="10"/>
        <item x="14"/>
        <item x="23"/>
        <item x="0"/>
        <item x="12"/>
        <item x="11"/>
        <item x="25"/>
        <item x="8"/>
        <item x="15"/>
        <item x="3"/>
        <item x="24"/>
        <item x="21"/>
        <item x="9"/>
        <item x="20"/>
        <item x="18"/>
        <item x="5"/>
        <item x="7"/>
        <item x="17"/>
        <item x="4"/>
        <item x="6"/>
        <item t="default"/>
      </items>
    </pivotField>
    <pivotField showAll="0"/>
    <pivotField showAll="0"/>
    <pivotField showAll="0"/>
    <pivotField showAll="0"/>
    <pivotField showAll="0"/>
    <pivotField axis="axisRow" showAll="0" measureFilter="1">
      <items count="143">
        <item x="36"/>
        <item x="77"/>
        <item x="74"/>
        <item x="93"/>
        <item x="31"/>
        <item x="61"/>
        <item x="22"/>
        <item x="42"/>
        <item x="52"/>
        <item x="126"/>
        <item x="141"/>
        <item x="57"/>
        <item x="116"/>
        <item x="53"/>
        <item x="37"/>
        <item x="49"/>
        <item x="85"/>
        <item x="68"/>
        <item x="109"/>
        <item x="122"/>
        <item x="78"/>
        <item x="98"/>
        <item x="96"/>
        <item x="27"/>
        <item x="102"/>
        <item x="9"/>
        <item x="121"/>
        <item x="30"/>
        <item x="3"/>
        <item x="0"/>
        <item x="10"/>
        <item x="19"/>
        <item x="48"/>
        <item x="117"/>
        <item x="136"/>
        <item x="101"/>
        <item x="8"/>
        <item x="33"/>
        <item x="73"/>
        <item x="41"/>
        <item x="125"/>
        <item x="76"/>
        <item x="5"/>
        <item x="4"/>
        <item x="86"/>
        <item x="35"/>
        <item x="95"/>
        <item x="13"/>
        <item x="17"/>
        <item x="134"/>
        <item x="92"/>
        <item x="115"/>
        <item x="133"/>
        <item x="34"/>
        <item x="120"/>
        <item x="23"/>
        <item x="38"/>
        <item x="51"/>
        <item x="124"/>
        <item x="64"/>
        <item x="118"/>
        <item x="45"/>
        <item x="70"/>
        <item x="14"/>
        <item x="54"/>
        <item x="1"/>
        <item x="114"/>
        <item x="28"/>
        <item x="65"/>
        <item x="108"/>
        <item x="91"/>
        <item x="132"/>
        <item x="46"/>
        <item x="25"/>
        <item x="81"/>
        <item x="119"/>
        <item x="11"/>
        <item x="47"/>
        <item x="100"/>
        <item x="106"/>
        <item x="84"/>
        <item x="50"/>
        <item x="32"/>
        <item x="63"/>
        <item x="107"/>
        <item x="103"/>
        <item x="7"/>
        <item x="66"/>
        <item x="21"/>
        <item x="6"/>
        <item x="18"/>
        <item x="135"/>
        <item x="105"/>
        <item x="83"/>
        <item x="56"/>
        <item x="110"/>
        <item x="40"/>
        <item x="140"/>
        <item x="39"/>
        <item x="58"/>
        <item x="29"/>
        <item x="59"/>
        <item x="79"/>
        <item x="111"/>
        <item x="26"/>
        <item x="82"/>
        <item x="72"/>
        <item x="97"/>
        <item x="131"/>
        <item x="138"/>
        <item x="2"/>
        <item x="90"/>
        <item x="139"/>
        <item x="75"/>
        <item x="67"/>
        <item x="80"/>
        <item x="104"/>
        <item x="128"/>
        <item x="15"/>
        <item x="16"/>
        <item x="69"/>
        <item x="71"/>
        <item x="123"/>
        <item x="94"/>
        <item x="87"/>
        <item x="113"/>
        <item x="99"/>
        <item x="43"/>
        <item x="60"/>
        <item x="24"/>
        <item x="20"/>
        <item x="44"/>
        <item x="130"/>
        <item x="137"/>
        <item x="127"/>
        <item x="112"/>
        <item x="62"/>
        <item x="129"/>
        <item x="12"/>
        <item x="88"/>
        <item x="89"/>
        <item x="55"/>
        <item t="default"/>
      </items>
    </pivotField>
    <pivotField showAll="0">
      <items count="148">
        <item x="75"/>
        <item x="61"/>
        <item x="99"/>
        <item x="123"/>
        <item x="15"/>
        <item x="30"/>
        <item x="106"/>
        <item x="133"/>
        <item x="70"/>
        <item x="111"/>
        <item x="94"/>
        <item x="51"/>
        <item x="90"/>
        <item x="32"/>
        <item x="6"/>
        <item x="18"/>
        <item x="138"/>
        <item x="28"/>
        <item x="76"/>
        <item x="139"/>
        <item x="132"/>
        <item x="25"/>
        <item x="91"/>
        <item x="62"/>
        <item x="58"/>
        <item x="2"/>
        <item x="81"/>
        <item x="53"/>
        <item x="12"/>
        <item x="33"/>
        <item x="80"/>
        <item x="45"/>
        <item x="8"/>
        <item x="71"/>
        <item x="78"/>
        <item x="21"/>
        <item x="86"/>
        <item x="130"/>
        <item x="88"/>
        <item x="82"/>
        <item x="129"/>
        <item x="48"/>
        <item x="4"/>
        <item x="20"/>
        <item x="100"/>
        <item x="112"/>
        <item x="63"/>
        <item x="77"/>
        <item x="105"/>
        <item x="34"/>
        <item x="59"/>
        <item x="117"/>
        <item x="56"/>
        <item x="93"/>
        <item x="131"/>
        <item x="103"/>
        <item x="49"/>
        <item x="110"/>
        <item x="108"/>
        <item x="136"/>
        <item x="47"/>
        <item x="44"/>
        <item x="116"/>
        <item x="60"/>
        <item x="5"/>
        <item x="96"/>
        <item x="92"/>
        <item x="17"/>
        <item x="127"/>
        <item x="22"/>
        <item x="97"/>
        <item x="135"/>
        <item x="120"/>
        <item x="14"/>
        <item x="23"/>
        <item x="74"/>
        <item x="89"/>
        <item x="104"/>
        <item x="50"/>
        <item x="69"/>
        <item x="109"/>
        <item x="134"/>
        <item x="42"/>
        <item x="128"/>
        <item x="65"/>
        <item x="125"/>
        <item x="137"/>
        <item x="31"/>
        <item x="52"/>
        <item x="26"/>
        <item x="143"/>
        <item x="43"/>
        <item x="98"/>
        <item x="95"/>
        <item x="73"/>
        <item x="102"/>
        <item x="37"/>
        <item x="9"/>
        <item x="119"/>
        <item x="29"/>
        <item x="113"/>
        <item x="140"/>
        <item x="64"/>
        <item x="41"/>
        <item x="145"/>
        <item x="115"/>
        <item x="87"/>
        <item x="68"/>
        <item x="36"/>
        <item x="83"/>
        <item x="79"/>
        <item x="55"/>
        <item x="46"/>
        <item x="39"/>
        <item x="66"/>
        <item x="19"/>
        <item x="118"/>
        <item x="84"/>
        <item x="126"/>
        <item x="101"/>
        <item x="124"/>
        <item x="0"/>
        <item x="85"/>
        <item x="57"/>
        <item x="107"/>
        <item x="40"/>
        <item x="144"/>
        <item x="13"/>
        <item x="38"/>
        <item x="121"/>
        <item x="122"/>
        <item x="16"/>
        <item x="142"/>
        <item x="1"/>
        <item x="114"/>
        <item x="72"/>
        <item x="141"/>
        <item x="7"/>
        <item x="11"/>
        <item x="3"/>
        <item x="54"/>
        <item x="24"/>
        <item x="35"/>
        <item x="67"/>
        <item x="10"/>
        <item x="146"/>
        <item x="27"/>
        <item t="default"/>
      </items>
    </pivotField>
    <pivotField showAll="0"/>
    <pivotField showAll="0"/>
    <pivotField dataField="1" showAll="0">
      <items count="150">
        <item x="27"/>
        <item x="124"/>
        <item x="3"/>
        <item x="36"/>
        <item x="14"/>
        <item x="117"/>
        <item x="72"/>
        <item x="84"/>
        <item x="38"/>
        <item x="102"/>
        <item x="104"/>
        <item x="74"/>
        <item x="66"/>
        <item x="39"/>
        <item x="78"/>
        <item x="129"/>
        <item x="99"/>
        <item x="127"/>
        <item x="123"/>
        <item x="28"/>
        <item x="76"/>
        <item x="32"/>
        <item x="103"/>
        <item x="15"/>
        <item x="94"/>
        <item x="100"/>
        <item x="75"/>
        <item x="125"/>
        <item x="23"/>
        <item x="61"/>
        <item x="107"/>
        <item x="30"/>
        <item x="73"/>
        <item x="113"/>
        <item x="70"/>
        <item x="6"/>
        <item x="135"/>
        <item x="106"/>
        <item x="140"/>
        <item x="18"/>
        <item x="4"/>
        <item x="77"/>
        <item x="51"/>
        <item x="90"/>
        <item x="59"/>
        <item x="134"/>
        <item x="33"/>
        <item x="42"/>
        <item x="81"/>
        <item x="25"/>
        <item x="47"/>
        <item x="21"/>
        <item x="141"/>
        <item x="12"/>
        <item x="8"/>
        <item x="147"/>
        <item x="48"/>
        <item x="62"/>
        <item x="82"/>
        <item x="91"/>
        <item x="53"/>
        <item x="88"/>
        <item x="86"/>
        <item x="2"/>
        <item x="131"/>
        <item x="58"/>
        <item x="57"/>
        <item x="20"/>
        <item x="114"/>
        <item x="80"/>
        <item x="45"/>
        <item x="89"/>
        <item x="46"/>
        <item x="71"/>
        <item x="63"/>
        <item x="43"/>
        <item x="132"/>
        <item x="31"/>
        <item x="34"/>
        <item x="17"/>
        <item x="139"/>
        <item x="109"/>
        <item x="101"/>
        <item x="26"/>
        <item x="145"/>
        <item x="16"/>
        <item x="111"/>
        <item x="87"/>
        <item x="119"/>
        <item x="5"/>
        <item x="112"/>
        <item x="29"/>
        <item x="56"/>
        <item x="22"/>
        <item x="19"/>
        <item x="93"/>
        <item x="60"/>
        <item x="92"/>
        <item x="41"/>
        <item x="133"/>
        <item x="52"/>
        <item x="105"/>
        <item x="96"/>
        <item x="49"/>
        <item x="118"/>
        <item x="137"/>
        <item x="122"/>
        <item x="44"/>
        <item x="144"/>
        <item x="138"/>
        <item x="65"/>
        <item x="97"/>
        <item x="98"/>
        <item x="110"/>
        <item x="128"/>
        <item x="136"/>
        <item x="130"/>
        <item x="126"/>
        <item x="85"/>
        <item x="9"/>
        <item x="50"/>
        <item x="37"/>
        <item x="69"/>
        <item x="95"/>
        <item x="40"/>
        <item x="0"/>
        <item x="115"/>
        <item x="121"/>
        <item x="55"/>
        <item x="79"/>
        <item x="83"/>
        <item x="68"/>
        <item x="120"/>
        <item x="108"/>
        <item x="11"/>
        <item x="64"/>
        <item x="142"/>
        <item x="10"/>
        <item x="7"/>
        <item x="146"/>
        <item x="67"/>
        <item x="35"/>
        <item x="13"/>
        <item x="116"/>
        <item x="143"/>
        <item x="1"/>
        <item x="24"/>
        <item x="54"/>
        <item x="148"/>
        <item t="default"/>
      </items>
    </pivotField>
    <pivotField showAll="0" defaultSubtotal="0">
      <items count="6">
        <item x="0"/>
        <item x="1"/>
        <item x="2"/>
        <item x="3"/>
        <item x="4"/>
        <item x="5"/>
      </items>
    </pivotField>
    <pivotField showAll="0" defaultSubtotal="0">
      <items count="6">
        <item x="0"/>
        <item x="1"/>
        <item x="2"/>
        <item x="3"/>
        <item x="4"/>
        <item x="5"/>
      </items>
    </pivotField>
  </pivotFields>
  <rowFields count="1">
    <field x="16"/>
  </rowFields>
  <rowItems count="2">
    <i>
      <x v="65"/>
    </i>
    <i t="grand">
      <x/>
    </i>
  </rowItems>
  <colItems count="1">
    <i/>
  </colItems>
  <dataFields count="1">
    <dataField name="Sum of Profit" fld="20" baseField="0" baseItem="0"/>
  </dataFields>
  <formats count="1">
    <format dxfId="83">
      <pivotArea outline="0" collapsedLevelsAreSubtotals="1" fieldPosition="0"/>
    </format>
  </formats>
  <pivotTableStyleInfo name="PivotStyleLight16" showRowHeaders="1" showColHeaders="1" showRowStripes="0" showColStripes="0" showLastColumn="1"/>
  <filters count="2">
    <filter fld="2" type="dateBetween" evalOrder="-1" id="73" name="Order Date">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 fld="16" type="count" evalOrder="-1" id="4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location ref="A3:B4" firstHeaderRow="0" firstDataRow="1" firstDataCol="0"/>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items count="27">
        <item x="19"/>
        <item x="16"/>
        <item x="1"/>
        <item x="22"/>
        <item x="13"/>
        <item x="2"/>
        <item x="10"/>
        <item x="14"/>
        <item x="23"/>
        <item x="0"/>
        <item x="12"/>
        <item x="11"/>
        <item x="25"/>
        <item x="8"/>
        <item x="15"/>
        <item x="3"/>
        <item x="24"/>
        <item x="21"/>
        <item x="9"/>
        <item x="20"/>
        <item x="18"/>
        <item x="5"/>
        <item x="7"/>
        <item x="17"/>
        <item x="4"/>
        <item x="6"/>
        <item t="default"/>
      </items>
    </pivotField>
    <pivotField showAll="0"/>
    <pivotField showAll="0"/>
    <pivotField showAll="0"/>
    <pivotField showAll="0"/>
    <pivotField showAll="0"/>
    <pivotField showAll="0"/>
    <pivotField dataField="1" showAll="0"/>
    <pivotField showAll="0"/>
    <pivotField showAll="0"/>
    <pivotField dataField="1" showAll="0"/>
    <pivotField showAll="0" defaultSubtotal="0">
      <items count="6">
        <item x="0"/>
        <item x="1"/>
        <item x="2"/>
        <item x="3"/>
        <item x="4"/>
        <item x="5"/>
      </items>
    </pivotField>
    <pivotField showAll="0" defaultSubtotal="0">
      <items count="6">
        <item x="0"/>
        <item x="1"/>
        <item x="2"/>
        <item x="3"/>
        <item x="4"/>
        <item x="5"/>
      </items>
    </pivotField>
  </pivotFields>
  <rowItems count="1">
    <i/>
  </rowItems>
  <colFields count="1">
    <field x="-2"/>
  </colFields>
  <colItems count="2">
    <i>
      <x/>
    </i>
    <i i="1">
      <x v="1"/>
    </i>
  </colItems>
  <dataFields count="2">
    <dataField name="Sum of Sales" fld="17" baseField="0" baseItem="0"/>
    <dataField name="Sum of Profit" fld="20" baseField="0" baseItem="0"/>
  </dataFields>
  <formats count="1">
    <format dxfId="84">
      <pivotArea outline="0" collapsedLevelsAreSubtotals="1" fieldPosition="0"/>
    </format>
  </formats>
  <pivotTableStyleInfo name="PivotStyleLight16" showRowHeaders="1" showColHeaders="1" showRowStripes="0" showColStripes="0" showLastColumn="1"/>
  <filters count="1">
    <filter fld="2" type="dateBetween" evalOrder="-1" id="72" name="Order Date">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7">
  <location ref="A15:C20" firstHeaderRow="0" firstDataRow="1" firstDataCol="1"/>
  <pivotFields count="23">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items count="27">
        <item x="19"/>
        <item x="16"/>
        <item x="1"/>
        <item x="22"/>
        <item x="13"/>
        <item x="2"/>
        <item x="10"/>
        <item x="14"/>
        <item x="23"/>
        <item x="0"/>
        <item x="12"/>
        <item x="11"/>
        <item x="25"/>
        <item x="8"/>
        <item x="15"/>
        <item x="3"/>
        <item x="24"/>
        <item x="21"/>
        <item x="9"/>
        <item x="20"/>
        <item x="18"/>
        <item x="5"/>
        <item x="7"/>
        <item x="17"/>
        <item x="4"/>
        <item x="6"/>
        <item t="default"/>
      </items>
    </pivotField>
    <pivotField showAll="0"/>
    <pivotField showAll="0"/>
    <pivotField showAll="0"/>
    <pivotField showAll="0"/>
    <pivotField showAll="0"/>
    <pivotField showAll="0"/>
    <pivotField dataField="1" showAll="0"/>
    <pivotField showAll="0"/>
    <pivotField showAll="0"/>
    <pivotField dataField="1" showAll="0"/>
    <pivotField axis="axisRow" showAll="0" defaultSubtotal="0">
      <items count="6">
        <item x="0"/>
        <item x="1"/>
        <item sd="0" x="2"/>
        <item x="3"/>
        <item x="4"/>
        <item x="5"/>
      </items>
    </pivotField>
    <pivotField axis="axisRow" showAll="0" defaultSubtotal="0">
      <items count="6">
        <item x="0"/>
        <item sd="0" x="1"/>
        <item sd="0" x="2"/>
        <item sd="0" x="3"/>
        <item sd="0" x="4"/>
        <item x="5"/>
      </items>
    </pivotField>
  </pivotFields>
  <rowFields count="3">
    <field x="22"/>
    <field x="21"/>
    <field x="2"/>
  </rowFields>
  <rowItems count="5">
    <i>
      <x v="1"/>
    </i>
    <i>
      <x v="2"/>
    </i>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85">
      <pivotArea outline="0" collapsedLevelsAreSubtotals="1" fieldPosition="0"/>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dateBetween" evalOrder="-1" id="72" name="Order Date">
      <autoFilter ref="A1">
        <filterColumn colId="0">
          <customFilters and="1">
            <customFilter operator="greaterThanOrEqual" val="4164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2" name="PivotTable3"/>
    <pivotTable tabId="2" name="PivotTable1"/>
    <pivotTable tabId="2" name="PivotTable2"/>
    <pivotTable tabId="2" name="PivotTable4"/>
    <pivotTable tabId="2" name="PivotTable5"/>
    <pivotTable tabId="2" name="PivotTable6"/>
    <pivotTable tabId="2" name="PivotTable7"/>
  </pivotTables>
  <data>
    <tabular pivotCacheId="1">
      <items count="26">
        <i x="19" s="1"/>
        <i x="16" s="1"/>
        <i x="1" s="1"/>
        <i x="22" s="1"/>
        <i x="13" s="1"/>
        <i x="2" s="1"/>
        <i x="10" s="1"/>
        <i x="14" s="1"/>
        <i x="23" s="1"/>
        <i x="0" s="1"/>
        <i x="12" s="1"/>
        <i x="11" s="1"/>
        <i x="25" s="1"/>
        <i x="8" s="1"/>
        <i x="15" s="1"/>
        <i x="3" s="1"/>
        <i x="24" s="1"/>
        <i x="21" s="1"/>
        <i x="9" s="1"/>
        <i x="20" s="1"/>
        <i x="18" s="1"/>
        <i x="5" s="1"/>
        <i x="7" s="1"/>
        <i x="17" s="1"/>
        <i x="4"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cache="Slicer_State" caption="State" startItem="12" style="SlicerStyleDark5" rowHeight="234950"/>
</slicers>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Order_Date" sourceName="Order Date">
  <pivotTables>
    <pivotTable tabId="2" name="PivotTable3"/>
    <pivotTable tabId="2" name="PivotTable1"/>
    <pivotTable tabId="2" name="PivotTable2"/>
    <pivotTable tabId="2" name="PivotTable4"/>
    <pivotTable tabId="2" name="PivotTable5"/>
    <pivotTable tabId="2" name="PivotTable6"/>
    <pivotTable tabId="2" name="PivotTable7"/>
  </pivotTables>
  <state minimalRefreshVersion="6" lastRefreshVersion="6" pivotCacheId="1" filterType="dateBetween">
    <selection startDate="2014-01-01T00:00:00" endDate="2017-12-31T00:00:00"/>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cache="NativeTimeline_Order_Date" caption="Order Date" level="0" selectionLevel="0" scrollPosition="2014-01-01T00:00:00" style="TimeSlicerStyleDark1"/>
</timelines>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O52"/>
  <sheetViews>
    <sheetView workbookViewId="0">
      <selection activeCell="K4" sqref="K4"/>
    </sheetView>
  </sheetViews>
  <sheetFormatPr defaultRowHeight="14.4" x14ac:dyDescent="0.3"/>
  <cols>
    <col min="1" max="1" width="12.5546875" customWidth="1"/>
    <col min="2" max="2" width="12.109375" customWidth="1"/>
    <col min="3" max="3" width="12.109375" bestFit="1" customWidth="1"/>
    <col min="5" max="5" width="52.21875" customWidth="1"/>
    <col min="6" max="6" width="11.6640625" customWidth="1"/>
    <col min="10" max="10" width="14.88671875" customWidth="1"/>
    <col min="11" max="11" width="11.6640625" customWidth="1"/>
    <col min="12" max="12" width="11.6640625" bestFit="1" customWidth="1"/>
    <col min="14" max="14" width="52.21875" customWidth="1"/>
    <col min="15" max="15" width="12.109375" customWidth="1"/>
  </cols>
  <sheetData>
    <row r="3" spans="1:15" x14ac:dyDescent="0.3">
      <c r="A3" t="s">
        <v>617</v>
      </c>
      <c r="B3" t="s">
        <v>618</v>
      </c>
      <c r="J3" s="9" t="s">
        <v>619</v>
      </c>
      <c r="K3" t="s">
        <v>618</v>
      </c>
      <c r="L3" t="s">
        <v>617</v>
      </c>
    </row>
    <row r="4" spans="1:15" x14ac:dyDescent="0.3">
      <c r="A4" s="8">
        <v>30765.197700000004</v>
      </c>
      <c r="B4" s="8">
        <v>1044.6231000000002</v>
      </c>
      <c r="E4" s="9" t="s">
        <v>619</v>
      </c>
      <c r="F4" t="s">
        <v>617</v>
      </c>
      <c r="J4" s="10" t="s">
        <v>31</v>
      </c>
      <c r="K4" s="8">
        <v>-1230.2191</v>
      </c>
      <c r="L4" s="8">
        <v>15772.559700000002</v>
      </c>
    </row>
    <row r="5" spans="1:15" x14ac:dyDescent="0.3">
      <c r="E5" s="10" t="s">
        <v>166</v>
      </c>
      <c r="F5" s="8">
        <v>3083.43</v>
      </c>
      <c r="J5" s="11" t="s">
        <v>32</v>
      </c>
      <c r="K5" s="8">
        <v>-1670.115</v>
      </c>
      <c r="L5" s="8">
        <v>3877.7891999999997</v>
      </c>
      <c r="N5" s="9" t="s">
        <v>619</v>
      </c>
      <c r="O5" t="s">
        <v>618</v>
      </c>
    </row>
    <row r="6" spans="1:15" x14ac:dyDescent="0.3">
      <c r="E6" s="10" t="s">
        <v>620</v>
      </c>
      <c r="F6" s="8">
        <v>3083.43</v>
      </c>
      <c r="J6" s="11" t="s">
        <v>35</v>
      </c>
      <c r="K6" s="8">
        <v>699.0258</v>
      </c>
      <c r="L6" s="8">
        <v>5405.6030000000001</v>
      </c>
      <c r="N6" s="10" t="s">
        <v>36</v>
      </c>
      <c r="O6" s="8">
        <v>805.13400000000001</v>
      </c>
    </row>
    <row r="7" spans="1:15" x14ac:dyDescent="0.3">
      <c r="J7" s="11" t="s">
        <v>64</v>
      </c>
      <c r="K7" s="8">
        <v>40.627700000000004</v>
      </c>
      <c r="L7" s="8">
        <v>1375.5459999999998</v>
      </c>
      <c r="N7" s="10" t="s">
        <v>620</v>
      </c>
      <c r="O7" s="8">
        <v>805.13400000000001</v>
      </c>
    </row>
    <row r="8" spans="1:15" x14ac:dyDescent="0.3">
      <c r="J8" s="11" t="s">
        <v>55</v>
      </c>
      <c r="K8" s="8">
        <v>-299.75760000000002</v>
      </c>
      <c r="L8" s="8">
        <v>5113.6215000000002</v>
      </c>
    </row>
    <row r="9" spans="1:15" x14ac:dyDescent="0.3">
      <c r="J9" s="10" t="s">
        <v>45</v>
      </c>
      <c r="K9" s="8">
        <v>1321.6159</v>
      </c>
      <c r="L9" s="8">
        <v>8366.5139999999992</v>
      </c>
    </row>
    <row r="10" spans="1:15" x14ac:dyDescent="0.3">
      <c r="J10" s="11" t="s">
        <v>77</v>
      </c>
      <c r="K10" s="8">
        <v>223.34059999999999</v>
      </c>
      <c r="L10" s="8">
        <v>1369.52</v>
      </c>
    </row>
    <row r="11" spans="1:15" x14ac:dyDescent="0.3">
      <c r="J11" s="11" t="s">
        <v>67</v>
      </c>
      <c r="K11" s="8">
        <v>175.40940000000003</v>
      </c>
      <c r="L11" s="8">
        <v>1386.672</v>
      </c>
    </row>
    <row r="12" spans="1:15" x14ac:dyDescent="0.3">
      <c r="J12" s="11" t="s">
        <v>74</v>
      </c>
      <c r="K12" s="8">
        <v>130.92689999999996</v>
      </c>
      <c r="L12" s="8">
        <v>1055.518</v>
      </c>
    </row>
    <row r="13" spans="1:15" x14ac:dyDescent="0.3">
      <c r="J13" s="11" t="s">
        <v>172</v>
      </c>
      <c r="K13" s="8">
        <v>201.87090000000001</v>
      </c>
      <c r="L13" s="8">
        <v>578.6400000000001</v>
      </c>
    </row>
    <row r="14" spans="1:15" x14ac:dyDescent="0.3">
      <c r="J14" s="11" t="s">
        <v>268</v>
      </c>
      <c r="K14" s="8">
        <v>29.734400000000001</v>
      </c>
      <c r="L14" s="8">
        <v>80.831999999999994</v>
      </c>
    </row>
    <row r="15" spans="1:15" x14ac:dyDescent="0.3">
      <c r="A15" s="9" t="s">
        <v>619</v>
      </c>
      <c r="B15" t="s">
        <v>617</v>
      </c>
      <c r="C15" t="s">
        <v>618</v>
      </c>
      <c r="J15" s="11" t="s">
        <v>46</v>
      </c>
      <c r="K15" s="8">
        <v>45.162800000000004</v>
      </c>
      <c r="L15" s="8">
        <v>95.960000000000008</v>
      </c>
    </row>
    <row r="16" spans="1:15" x14ac:dyDescent="0.3">
      <c r="A16" s="10" t="s">
        <v>621</v>
      </c>
      <c r="B16" s="8">
        <v>7740.387999999999</v>
      </c>
      <c r="C16" s="8">
        <v>192.9817000000001</v>
      </c>
      <c r="J16" s="11" t="s">
        <v>89</v>
      </c>
      <c r="K16" s="8">
        <v>327.0994</v>
      </c>
      <c r="L16" s="8">
        <v>743.08799999999997</v>
      </c>
    </row>
    <row r="17" spans="1:12" x14ac:dyDescent="0.3">
      <c r="A17" s="10" t="s">
        <v>622</v>
      </c>
      <c r="B17" s="8">
        <v>10980.6317</v>
      </c>
      <c r="C17" s="8">
        <v>-1684.2518000000005</v>
      </c>
      <c r="J17" s="11" t="s">
        <v>58</v>
      </c>
      <c r="K17" s="8">
        <v>169.6251</v>
      </c>
      <c r="L17" s="8">
        <v>2990.404</v>
      </c>
    </row>
    <row r="18" spans="1:12" x14ac:dyDescent="0.3">
      <c r="A18" s="10" t="s">
        <v>623</v>
      </c>
      <c r="B18" s="8">
        <v>9359.4540000000015</v>
      </c>
      <c r="C18" s="8">
        <v>2063.5399000000002</v>
      </c>
      <c r="J18" s="11" t="s">
        <v>578</v>
      </c>
      <c r="K18" s="8">
        <v>18.446400000000001</v>
      </c>
      <c r="L18" s="8">
        <v>65.88</v>
      </c>
    </row>
    <row r="19" spans="1:12" x14ac:dyDescent="0.3">
      <c r="A19" s="10" t="s">
        <v>624</v>
      </c>
      <c r="B19" s="8">
        <v>2684.7239999999997</v>
      </c>
      <c r="C19" s="8">
        <v>472.35329999999999</v>
      </c>
      <c r="J19" s="10" t="s">
        <v>70</v>
      </c>
      <c r="K19" s="8">
        <v>953.22629999999981</v>
      </c>
      <c r="L19" s="8">
        <v>6626.1240000000007</v>
      </c>
    </row>
    <row r="20" spans="1:12" x14ac:dyDescent="0.3">
      <c r="A20" s="10" t="s">
        <v>620</v>
      </c>
      <c r="B20" s="8">
        <v>30765.197699999997</v>
      </c>
      <c r="C20" s="8">
        <v>1044.6230999999998</v>
      </c>
      <c r="J20" s="11" t="s">
        <v>160</v>
      </c>
      <c r="K20" s="8">
        <v>100.66380000000001</v>
      </c>
      <c r="L20" s="8">
        <v>994.46399999999994</v>
      </c>
    </row>
    <row r="21" spans="1:12" x14ac:dyDescent="0.3">
      <c r="J21" s="11" t="s">
        <v>71</v>
      </c>
      <c r="K21" s="8">
        <v>852.56249999999977</v>
      </c>
      <c r="L21" s="8">
        <v>5631.6600000000008</v>
      </c>
    </row>
    <row r="22" spans="1:12" x14ac:dyDescent="0.3">
      <c r="J22" s="10" t="s">
        <v>620</v>
      </c>
      <c r="K22" s="8">
        <v>1044.6230999999998</v>
      </c>
      <c r="L22" s="8">
        <v>30765.197699999997</v>
      </c>
    </row>
    <row r="28" spans="1:12" x14ac:dyDescent="0.3">
      <c r="J28" s="9" t="s">
        <v>619</v>
      </c>
      <c r="K28" t="s">
        <v>617</v>
      </c>
    </row>
    <row r="29" spans="1:12" x14ac:dyDescent="0.3">
      <c r="J29" s="10" t="s">
        <v>307</v>
      </c>
      <c r="K29" s="8">
        <v>1280.992</v>
      </c>
    </row>
    <row r="30" spans="1:12" x14ac:dyDescent="0.3">
      <c r="J30" s="10" t="s">
        <v>62</v>
      </c>
      <c r="K30" s="8">
        <v>3714.3040000000001</v>
      </c>
    </row>
    <row r="31" spans="1:12" x14ac:dyDescent="0.3">
      <c r="J31" s="10" t="s">
        <v>189</v>
      </c>
      <c r="K31" s="8">
        <v>1288.4640000000002</v>
      </c>
    </row>
    <row r="32" spans="1:12" x14ac:dyDescent="0.3">
      <c r="J32" s="10" t="s">
        <v>611</v>
      </c>
      <c r="K32" s="8">
        <v>2486.2599999999998</v>
      </c>
    </row>
    <row r="33" spans="1:11" x14ac:dyDescent="0.3">
      <c r="J33" s="10" t="s">
        <v>164</v>
      </c>
      <c r="K33" s="8">
        <v>3348.4840000000004</v>
      </c>
    </row>
    <row r="34" spans="1:11" x14ac:dyDescent="0.3">
      <c r="J34" s="10" t="s">
        <v>620</v>
      </c>
      <c r="K34" s="8">
        <v>12118.504000000001</v>
      </c>
    </row>
    <row r="47" spans="1:11" x14ac:dyDescent="0.3">
      <c r="A47" s="9" t="s">
        <v>619</v>
      </c>
      <c r="B47" t="s">
        <v>618</v>
      </c>
    </row>
    <row r="48" spans="1:11" x14ac:dyDescent="0.3">
      <c r="A48" s="10" t="s">
        <v>104</v>
      </c>
      <c r="B48" s="12">
        <v>0.6369884028028866</v>
      </c>
    </row>
    <row r="49" spans="1:2" x14ac:dyDescent="0.3">
      <c r="A49" s="10" t="s">
        <v>147</v>
      </c>
      <c r="B49" s="12">
        <v>-0.85680031391226175</v>
      </c>
    </row>
    <row r="50" spans="1:2" x14ac:dyDescent="0.3">
      <c r="A50" s="10" t="s">
        <v>29</v>
      </c>
      <c r="B50" s="12">
        <v>-0.12866276841858082</v>
      </c>
    </row>
    <row r="51" spans="1:2" x14ac:dyDescent="0.3">
      <c r="A51" s="10" t="s">
        <v>43</v>
      </c>
      <c r="B51" s="12">
        <v>1.3484746795279561</v>
      </c>
    </row>
    <row r="52" spans="1:2" x14ac:dyDescent="0.3">
      <c r="A52" s="10" t="s">
        <v>620</v>
      </c>
      <c r="B52" s="12">
        <v>1</v>
      </c>
    </row>
  </sheetData>
  <pageMargins left="0.7" right="0.7" top="0.75" bottom="0.75" header="0.3" footer="0.3"/>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zoomScale="85" zoomScaleNormal="85" workbookViewId="0">
      <selection activeCell="J6" sqref="J6"/>
    </sheetView>
  </sheetViews>
  <sheetFormatPr defaultRowHeight="14.4" x14ac:dyDescent="0.3"/>
  <cols>
    <col min="1" max="16384" width="8.88671875" style="13"/>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51"/>
  <sheetViews>
    <sheetView zoomScale="115" zoomScaleNormal="115" workbookViewId="0">
      <selection sqref="A1:U151"/>
    </sheetView>
  </sheetViews>
  <sheetFormatPr defaultRowHeight="14.4" x14ac:dyDescent="0.3"/>
  <cols>
    <col min="1" max="1" width="7.5546875" bestFit="1" customWidth="1"/>
    <col min="2" max="2" width="9" bestFit="1" customWidth="1"/>
    <col min="3" max="3" width="11.44140625" bestFit="1" customWidth="1"/>
    <col min="4" max="4" width="10.5546875" bestFit="1" customWidth="1"/>
    <col min="5" max="5" width="13.5546875" bestFit="1" customWidth="1"/>
    <col min="6" max="6" width="12.5546875" bestFit="1" customWidth="1"/>
    <col min="7" max="7" width="17.6640625" bestFit="1" customWidth="1"/>
    <col min="8" max="8" width="11.6640625" bestFit="1" customWidth="1"/>
    <col min="9" max="9" width="12.33203125" bestFit="1" customWidth="1"/>
    <col min="10" max="10" width="14.33203125" bestFit="1" customWidth="1"/>
    <col min="11" max="11" width="13.5546875" bestFit="1" customWidth="1"/>
    <col min="12" max="12" width="12.109375" bestFit="1" customWidth="1"/>
    <col min="13" max="13" width="7.6640625" bestFit="1" customWidth="1"/>
    <col min="14" max="14" width="16.5546875" bestFit="1" customWidth="1"/>
    <col min="15" max="15" width="13.6640625" bestFit="1" customWidth="1"/>
    <col min="16" max="16" width="14.109375" bestFit="1" customWidth="1"/>
    <col min="17" max="17" width="52.88671875" bestFit="1" customWidth="1"/>
    <col min="18" max="18" width="8.6640625" bestFit="1" customWidth="1"/>
    <col min="19" max="19" width="9.33203125" bestFit="1" customWidth="1"/>
    <col min="20" max="20" width="9.21875" bestFit="1" customWidth="1"/>
    <col min="21" max="21" width="10.21875" bestFit="1" customWidth="1"/>
  </cols>
  <sheetData>
    <row r="1" spans="1:21" ht="31.8" thickBot="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ht="29.4" thickBot="1" x14ac:dyDescent="0.35">
      <c r="A2" s="2">
        <v>1</v>
      </c>
      <c r="B2" s="3" t="s">
        <v>21</v>
      </c>
      <c r="C2" s="4">
        <v>42682</v>
      </c>
      <c r="D2" s="4">
        <v>42685</v>
      </c>
      <c r="E2" s="3" t="s">
        <v>22</v>
      </c>
      <c r="F2" s="3" t="s">
        <v>23</v>
      </c>
      <c r="G2" s="3" t="s">
        <v>24</v>
      </c>
      <c r="H2" s="3" t="s">
        <v>25</v>
      </c>
      <c r="I2" s="3" t="s">
        <v>26</v>
      </c>
      <c r="J2" s="3" t="s">
        <v>27</v>
      </c>
      <c r="K2" s="3" t="s">
        <v>28</v>
      </c>
      <c r="L2" s="2">
        <v>42420</v>
      </c>
      <c r="M2" s="3" t="s">
        <v>29</v>
      </c>
      <c r="N2" s="3" t="s">
        <v>30</v>
      </c>
      <c r="O2" s="3" t="s">
        <v>31</v>
      </c>
      <c r="P2" s="3" t="s">
        <v>32</v>
      </c>
      <c r="Q2" s="3" t="s">
        <v>33</v>
      </c>
      <c r="R2" s="2">
        <v>261.95999999999998</v>
      </c>
      <c r="S2" s="2">
        <v>2</v>
      </c>
      <c r="T2" s="2">
        <v>0</v>
      </c>
      <c r="U2" s="2">
        <v>41.913600000000002</v>
      </c>
    </row>
    <row r="3" spans="1:21" ht="29.4" thickBot="1" x14ac:dyDescent="0.35">
      <c r="A3" s="5">
        <v>2</v>
      </c>
      <c r="B3" s="6" t="s">
        <v>21</v>
      </c>
      <c r="C3" s="7">
        <v>42682</v>
      </c>
      <c r="D3" s="7">
        <v>42685</v>
      </c>
      <c r="E3" s="6" t="s">
        <v>22</v>
      </c>
      <c r="F3" s="6" t="s">
        <v>23</v>
      </c>
      <c r="G3" s="6" t="s">
        <v>24</v>
      </c>
      <c r="H3" s="6" t="s">
        <v>25</v>
      </c>
      <c r="I3" s="6" t="s">
        <v>26</v>
      </c>
      <c r="J3" s="6" t="s">
        <v>27</v>
      </c>
      <c r="K3" s="6" t="s">
        <v>28</v>
      </c>
      <c r="L3" s="5">
        <v>42420</v>
      </c>
      <c r="M3" s="6" t="s">
        <v>29</v>
      </c>
      <c r="N3" s="6" t="s">
        <v>34</v>
      </c>
      <c r="O3" s="6" t="s">
        <v>31</v>
      </c>
      <c r="P3" s="6" t="s">
        <v>35</v>
      </c>
      <c r="Q3" s="6" t="s">
        <v>36</v>
      </c>
      <c r="R3" s="5">
        <v>731.94</v>
      </c>
      <c r="S3" s="5">
        <v>3</v>
      </c>
      <c r="T3" s="5">
        <v>0</v>
      </c>
      <c r="U3" s="5">
        <v>219.58199999999999</v>
      </c>
    </row>
    <row r="4" spans="1:21" ht="29.4" thickBot="1" x14ac:dyDescent="0.35">
      <c r="A4" s="2">
        <v>3</v>
      </c>
      <c r="B4" s="3" t="s">
        <v>37</v>
      </c>
      <c r="C4" s="4">
        <v>42533</v>
      </c>
      <c r="D4" s="4">
        <v>42537</v>
      </c>
      <c r="E4" s="3" t="s">
        <v>22</v>
      </c>
      <c r="F4" s="3" t="s">
        <v>38</v>
      </c>
      <c r="G4" s="3" t="s">
        <v>39</v>
      </c>
      <c r="H4" s="3" t="s">
        <v>40</v>
      </c>
      <c r="I4" s="3" t="s">
        <v>26</v>
      </c>
      <c r="J4" s="3" t="s">
        <v>41</v>
      </c>
      <c r="K4" s="3" t="s">
        <v>42</v>
      </c>
      <c r="L4" s="2">
        <v>90036</v>
      </c>
      <c r="M4" s="3" t="s">
        <v>43</v>
      </c>
      <c r="N4" s="3" t="s">
        <v>44</v>
      </c>
      <c r="O4" s="3" t="s">
        <v>45</v>
      </c>
      <c r="P4" s="3" t="s">
        <v>46</v>
      </c>
      <c r="Q4" s="3" t="s">
        <v>47</v>
      </c>
      <c r="R4" s="2">
        <v>14.62</v>
      </c>
      <c r="S4" s="2">
        <v>2</v>
      </c>
      <c r="T4" s="2">
        <v>0</v>
      </c>
      <c r="U4" s="2">
        <v>6.8714000000000004</v>
      </c>
    </row>
    <row r="5" spans="1:21" ht="29.4" thickBot="1" x14ac:dyDescent="0.35">
      <c r="A5" s="5">
        <v>4</v>
      </c>
      <c r="B5" s="6" t="s">
        <v>48</v>
      </c>
      <c r="C5" s="7">
        <v>42288</v>
      </c>
      <c r="D5" s="7">
        <v>42295</v>
      </c>
      <c r="E5" s="6" t="s">
        <v>49</v>
      </c>
      <c r="F5" s="6" t="s">
        <v>50</v>
      </c>
      <c r="G5" s="6" t="s">
        <v>51</v>
      </c>
      <c r="H5" s="6" t="s">
        <v>25</v>
      </c>
      <c r="I5" s="6" t="s">
        <v>26</v>
      </c>
      <c r="J5" s="6" t="s">
        <v>52</v>
      </c>
      <c r="K5" s="6" t="s">
        <v>53</v>
      </c>
      <c r="L5" s="5">
        <v>33311</v>
      </c>
      <c r="M5" s="6" t="s">
        <v>29</v>
      </c>
      <c r="N5" s="6" t="s">
        <v>54</v>
      </c>
      <c r="O5" s="6" t="s">
        <v>31</v>
      </c>
      <c r="P5" s="6" t="s">
        <v>55</v>
      </c>
      <c r="Q5" s="6" t="s">
        <v>56</v>
      </c>
      <c r="R5" s="5">
        <v>957.57749999999999</v>
      </c>
      <c r="S5" s="5">
        <v>5</v>
      </c>
      <c r="T5" s="5">
        <v>0.45</v>
      </c>
      <c r="U5" s="5">
        <v>-383.03100000000001</v>
      </c>
    </row>
    <row r="6" spans="1:21" ht="29.4" thickBot="1" x14ac:dyDescent="0.35">
      <c r="A6" s="2">
        <v>5</v>
      </c>
      <c r="B6" s="3" t="s">
        <v>48</v>
      </c>
      <c r="C6" s="4">
        <v>42288</v>
      </c>
      <c r="D6" s="4">
        <v>42295</v>
      </c>
      <c r="E6" s="3" t="s">
        <v>49</v>
      </c>
      <c r="F6" s="3" t="s">
        <v>50</v>
      </c>
      <c r="G6" s="3" t="s">
        <v>51</v>
      </c>
      <c r="H6" s="3" t="s">
        <v>25</v>
      </c>
      <c r="I6" s="3" t="s">
        <v>26</v>
      </c>
      <c r="J6" s="3" t="s">
        <v>52</v>
      </c>
      <c r="K6" s="3" t="s">
        <v>53</v>
      </c>
      <c r="L6" s="2">
        <v>33311</v>
      </c>
      <c r="M6" s="3" t="s">
        <v>29</v>
      </c>
      <c r="N6" s="3" t="s">
        <v>57</v>
      </c>
      <c r="O6" s="3" t="s">
        <v>45</v>
      </c>
      <c r="P6" s="3" t="s">
        <v>58</v>
      </c>
      <c r="Q6" s="3" t="s">
        <v>59</v>
      </c>
      <c r="R6" s="2">
        <v>22.367999999999999</v>
      </c>
      <c r="S6" s="2">
        <v>2</v>
      </c>
      <c r="T6" s="2">
        <v>0.2</v>
      </c>
      <c r="U6" s="2">
        <v>2.5164</v>
      </c>
    </row>
    <row r="7" spans="1:21" ht="29.4" thickBot="1" x14ac:dyDescent="0.35">
      <c r="A7" s="5">
        <v>6</v>
      </c>
      <c r="B7" s="6" t="s">
        <v>60</v>
      </c>
      <c r="C7" s="7">
        <v>41799</v>
      </c>
      <c r="D7" s="7">
        <v>41804</v>
      </c>
      <c r="E7" s="6" t="s">
        <v>49</v>
      </c>
      <c r="F7" s="6" t="s">
        <v>61</v>
      </c>
      <c r="G7" s="6" t="s">
        <v>62</v>
      </c>
      <c r="H7" s="6" t="s">
        <v>25</v>
      </c>
      <c r="I7" s="6" t="s">
        <v>26</v>
      </c>
      <c r="J7" s="6" t="s">
        <v>41</v>
      </c>
      <c r="K7" s="6" t="s">
        <v>42</v>
      </c>
      <c r="L7" s="5">
        <v>90032</v>
      </c>
      <c r="M7" s="6" t="s">
        <v>43</v>
      </c>
      <c r="N7" s="6" t="s">
        <v>63</v>
      </c>
      <c r="O7" s="6" t="s">
        <v>31</v>
      </c>
      <c r="P7" s="6" t="s">
        <v>64</v>
      </c>
      <c r="Q7" s="6" t="s">
        <v>65</v>
      </c>
      <c r="R7" s="5">
        <v>48.86</v>
      </c>
      <c r="S7" s="5">
        <v>7</v>
      </c>
      <c r="T7" s="5">
        <v>0</v>
      </c>
      <c r="U7" s="5">
        <v>14.1694</v>
      </c>
    </row>
    <row r="8" spans="1:21" ht="29.4" thickBot="1" x14ac:dyDescent="0.35">
      <c r="A8" s="2">
        <v>7</v>
      </c>
      <c r="B8" s="3" t="s">
        <v>60</v>
      </c>
      <c r="C8" s="4">
        <v>41799</v>
      </c>
      <c r="D8" s="4">
        <v>41804</v>
      </c>
      <c r="E8" s="3" t="s">
        <v>49</v>
      </c>
      <c r="F8" s="3" t="s">
        <v>61</v>
      </c>
      <c r="G8" s="3" t="s">
        <v>62</v>
      </c>
      <c r="H8" s="3" t="s">
        <v>25</v>
      </c>
      <c r="I8" s="3" t="s">
        <v>26</v>
      </c>
      <c r="J8" s="3" t="s">
        <v>41</v>
      </c>
      <c r="K8" s="3" t="s">
        <v>42</v>
      </c>
      <c r="L8" s="2">
        <v>90032</v>
      </c>
      <c r="M8" s="3" t="s">
        <v>43</v>
      </c>
      <c r="N8" s="3" t="s">
        <v>66</v>
      </c>
      <c r="O8" s="3" t="s">
        <v>45</v>
      </c>
      <c r="P8" s="3" t="s">
        <v>67</v>
      </c>
      <c r="Q8" s="3" t="s">
        <v>68</v>
      </c>
      <c r="R8" s="2">
        <v>7.28</v>
      </c>
      <c r="S8" s="2">
        <v>4</v>
      </c>
      <c r="T8" s="2">
        <v>0</v>
      </c>
      <c r="U8" s="2">
        <v>1.9656</v>
      </c>
    </row>
    <row r="9" spans="1:21" ht="29.4" thickBot="1" x14ac:dyDescent="0.35">
      <c r="A9" s="5">
        <v>8</v>
      </c>
      <c r="B9" s="6" t="s">
        <v>60</v>
      </c>
      <c r="C9" s="7">
        <v>41799</v>
      </c>
      <c r="D9" s="7">
        <v>41804</v>
      </c>
      <c r="E9" s="6" t="s">
        <v>49</v>
      </c>
      <c r="F9" s="6" t="s">
        <v>61</v>
      </c>
      <c r="G9" s="6" t="s">
        <v>62</v>
      </c>
      <c r="H9" s="6" t="s">
        <v>25</v>
      </c>
      <c r="I9" s="6" t="s">
        <v>26</v>
      </c>
      <c r="J9" s="6" t="s">
        <v>41</v>
      </c>
      <c r="K9" s="6" t="s">
        <v>42</v>
      </c>
      <c r="L9" s="5">
        <v>90032</v>
      </c>
      <c r="M9" s="6" t="s">
        <v>43</v>
      </c>
      <c r="N9" s="6" t="s">
        <v>69</v>
      </c>
      <c r="O9" s="6" t="s">
        <v>70</v>
      </c>
      <c r="P9" s="6" t="s">
        <v>71</v>
      </c>
      <c r="Q9" s="6" t="s">
        <v>72</v>
      </c>
      <c r="R9" s="5">
        <v>907.15200000000004</v>
      </c>
      <c r="S9" s="5">
        <v>6</v>
      </c>
      <c r="T9" s="5">
        <v>0.2</v>
      </c>
      <c r="U9" s="5">
        <v>90.715199999999996</v>
      </c>
    </row>
    <row r="10" spans="1:21" ht="29.4" thickBot="1" x14ac:dyDescent="0.35">
      <c r="A10" s="2">
        <v>9</v>
      </c>
      <c r="B10" s="3" t="s">
        <v>60</v>
      </c>
      <c r="C10" s="4">
        <v>41799</v>
      </c>
      <c r="D10" s="4">
        <v>41804</v>
      </c>
      <c r="E10" s="3" t="s">
        <v>49</v>
      </c>
      <c r="F10" s="3" t="s">
        <v>61</v>
      </c>
      <c r="G10" s="3" t="s">
        <v>62</v>
      </c>
      <c r="H10" s="3" t="s">
        <v>25</v>
      </c>
      <c r="I10" s="3" t="s">
        <v>26</v>
      </c>
      <c r="J10" s="3" t="s">
        <v>41</v>
      </c>
      <c r="K10" s="3" t="s">
        <v>42</v>
      </c>
      <c r="L10" s="2">
        <v>90032</v>
      </c>
      <c r="M10" s="3" t="s">
        <v>43</v>
      </c>
      <c r="N10" s="3" t="s">
        <v>73</v>
      </c>
      <c r="O10" s="3" t="s">
        <v>45</v>
      </c>
      <c r="P10" s="3" t="s">
        <v>74</v>
      </c>
      <c r="Q10" s="3" t="s">
        <v>75</v>
      </c>
      <c r="R10" s="2">
        <v>18.504000000000001</v>
      </c>
      <c r="S10" s="2">
        <v>3</v>
      </c>
      <c r="T10" s="2">
        <v>0.2</v>
      </c>
      <c r="U10" s="2">
        <v>5.7824999999999998</v>
      </c>
    </row>
    <row r="11" spans="1:21" ht="29.4" thickBot="1" x14ac:dyDescent="0.35">
      <c r="A11" s="5">
        <v>10</v>
      </c>
      <c r="B11" s="6" t="s">
        <v>60</v>
      </c>
      <c r="C11" s="7">
        <v>41799</v>
      </c>
      <c r="D11" s="7">
        <v>41804</v>
      </c>
      <c r="E11" s="6" t="s">
        <v>49</v>
      </c>
      <c r="F11" s="6" t="s">
        <v>61</v>
      </c>
      <c r="G11" s="6" t="s">
        <v>62</v>
      </c>
      <c r="H11" s="6" t="s">
        <v>25</v>
      </c>
      <c r="I11" s="6" t="s">
        <v>26</v>
      </c>
      <c r="J11" s="6" t="s">
        <v>41</v>
      </c>
      <c r="K11" s="6" t="s">
        <v>42</v>
      </c>
      <c r="L11" s="5">
        <v>90032</v>
      </c>
      <c r="M11" s="6" t="s">
        <v>43</v>
      </c>
      <c r="N11" s="6" t="s">
        <v>76</v>
      </c>
      <c r="O11" s="6" t="s">
        <v>45</v>
      </c>
      <c r="P11" s="6" t="s">
        <v>77</v>
      </c>
      <c r="Q11" s="6" t="s">
        <v>78</v>
      </c>
      <c r="R11" s="5">
        <v>114.9</v>
      </c>
      <c r="S11" s="5">
        <v>5</v>
      </c>
      <c r="T11" s="5">
        <v>0</v>
      </c>
      <c r="U11" s="5">
        <v>34.47</v>
      </c>
    </row>
    <row r="12" spans="1:21" ht="29.4" thickBot="1" x14ac:dyDescent="0.35">
      <c r="A12" s="2">
        <v>11</v>
      </c>
      <c r="B12" s="3" t="s">
        <v>60</v>
      </c>
      <c r="C12" s="4">
        <v>41799</v>
      </c>
      <c r="D12" s="4">
        <v>41804</v>
      </c>
      <c r="E12" s="3" t="s">
        <v>49</v>
      </c>
      <c r="F12" s="3" t="s">
        <v>61</v>
      </c>
      <c r="G12" s="3" t="s">
        <v>62</v>
      </c>
      <c r="H12" s="3" t="s">
        <v>25</v>
      </c>
      <c r="I12" s="3" t="s">
        <v>26</v>
      </c>
      <c r="J12" s="3" t="s">
        <v>41</v>
      </c>
      <c r="K12" s="3" t="s">
        <v>42</v>
      </c>
      <c r="L12" s="2">
        <v>90032</v>
      </c>
      <c r="M12" s="3" t="s">
        <v>43</v>
      </c>
      <c r="N12" s="3" t="s">
        <v>79</v>
      </c>
      <c r="O12" s="3" t="s">
        <v>31</v>
      </c>
      <c r="P12" s="3" t="s">
        <v>55</v>
      </c>
      <c r="Q12" s="3" t="s">
        <v>80</v>
      </c>
      <c r="R12" s="2">
        <v>1706.184</v>
      </c>
      <c r="S12" s="2">
        <v>9</v>
      </c>
      <c r="T12" s="2">
        <v>0.2</v>
      </c>
      <c r="U12" s="2">
        <v>85.309200000000004</v>
      </c>
    </row>
    <row r="13" spans="1:21" ht="29.4" thickBot="1" x14ac:dyDescent="0.35">
      <c r="A13" s="5">
        <v>12</v>
      </c>
      <c r="B13" s="6" t="s">
        <v>60</v>
      </c>
      <c r="C13" s="7">
        <v>41799</v>
      </c>
      <c r="D13" s="7">
        <v>41804</v>
      </c>
      <c r="E13" s="6" t="s">
        <v>49</v>
      </c>
      <c r="F13" s="6" t="s">
        <v>61</v>
      </c>
      <c r="G13" s="6" t="s">
        <v>62</v>
      </c>
      <c r="H13" s="6" t="s">
        <v>25</v>
      </c>
      <c r="I13" s="6" t="s">
        <v>26</v>
      </c>
      <c r="J13" s="6" t="s">
        <v>41</v>
      </c>
      <c r="K13" s="6" t="s">
        <v>42</v>
      </c>
      <c r="L13" s="5">
        <v>90032</v>
      </c>
      <c r="M13" s="6" t="s">
        <v>43</v>
      </c>
      <c r="N13" s="6" t="s">
        <v>81</v>
      </c>
      <c r="O13" s="6" t="s">
        <v>70</v>
      </c>
      <c r="P13" s="6" t="s">
        <v>71</v>
      </c>
      <c r="Q13" s="6" t="s">
        <v>82</v>
      </c>
      <c r="R13" s="5">
        <v>911.42399999999998</v>
      </c>
      <c r="S13" s="5">
        <v>4</v>
      </c>
      <c r="T13" s="5">
        <v>0.2</v>
      </c>
      <c r="U13" s="5">
        <v>68.356800000000007</v>
      </c>
    </row>
    <row r="14" spans="1:21" ht="29.4" thickBot="1" x14ac:dyDescent="0.35">
      <c r="A14" s="2">
        <v>13</v>
      </c>
      <c r="B14" s="3" t="s">
        <v>83</v>
      </c>
      <c r="C14" s="4">
        <v>42840</v>
      </c>
      <c r="D14" s="4">
        <v>42845</v>
      </c>
      <c r="E14" s="3" t="s">
        <v>49</v>
      </c>
      <c r="F14" s="3" t="s">
        <v>84</v>
      </c>
      <c r="G14" s="3" t="s">
        <v>85</v>
      </c>
      <c r="H14" s="3" t="s">
        <v>25</v>
      </c>
      <c r="I14" s="3" t="s">
        <v>26</v>
      </c>
      <c r="J14" s="3" t="s">
        <v>86</v>
      </c>
      <c r="K14" s="3" t="s">
        <v>87</v>
      </c>
      <c r="L14" s="2">
        <v>28027</v>
      </c>
      <c r="M14" s="3" t="s">
        <v>29</v>
      </c>
      <c r="N14" s="3" t="s">
        <v>88</v>
      </c>
      <c r="O14" s="3" t="s">
        <v>45</v>
      </c>
      <c r="P14" s="3" t="s">
        <v>89</v>
      </c>
      <c r="Q14" s="3" t="s">
        <v>90</v>
      </c>
      <c r="R14" s="2">
        <v>15.552</v>
      </c>
      <c r="S14" s="2">
        <v>3</v>
      </c>
      <c r="T14" s="2">
        <v>0.2</v>
      </c>
      <c r="U14" s="2">
        <v>5.4432</v>
      </c>
    </row>
    <row r="15" spans="1:21" ht="29.4" thickBot="1" x14ac:dyDescent="0.35">
      <c r="A15" s="5">
        <v>14</v>
      </c>
      <c r="B15" s="6" t="s">
        <v>91</v>
      </c>
      <c r="C15" s="7">
        <v>42709</v>
      </c>
      <c r="D15" s="7">
        <v>42714</v>
      </c>
      <c r="E15" s="6" t="s">
        <v>49</v>
      </c>
      <c r="F15" s="6" t="s">
        <v>92</v>
      </c>
      <c r="G15" s="6" t="s">
        <v>93</v>
      </c>
      <c r="H15" s="6" t="s">
        <v>25</v>
      </c>
      <c r="I15" s="6" t="s">
        <v>26</v>
      </c>
      <c r="J15" s="6" t="s">
        <v>94</v>
      </c>
      <c r="K15" s="6" t="s">
        <v>95</v>
      </c>
      <c r="L15" s="5">
        <v>98103</v>
      </c>
      <c r="M15" s="6" t="s">
        <v>43</v>
      </c>
      <c r="N15" s="6" t="s">
        <v>96</v>
      </c>
      <c r="O15" s="6" t="s">
        <v>45</v>
      </c>
      <c r="P15" s="6" t="s">
        <v>74</v>
      </c>
      <c r="Q15" s="6" t="s">
        <v>97</v>
      </c>
      <c r="R15" s="5">
        <v>407.976</v>
      </c>
      <c r="S15" s="5">
        <v>3</v>
      </c>
      <c r="T15" s="5">
        <v>0.2</v>
      </c>
      <c r="U15" s="5">
        <v>132.59219999999999</v>
      </c>
    </row>
    <row r="16" spans="1:21" ht="29.4" thickBot="1" x14ac:dyDescent="0.35">
      <c r="A16" s="2">
        <v>15</v>
      </c>
      <c r="B16" s="3" t="s">
        <v>98</v>
      </c>
      <c r="C16" s="4">
        <v>42330</v>
      </c>
      <c r="D16" s="4">
        <v>42334</v>
      </c>
      <c r="E16" s="3" t="s">
        <v>49</v>
      </c>
      <c r="F16" s="3" t="s">
        <v>99</v>
      </c>
      <c r="G16" s="3" t="s">
        <v>100</v>
      </c>
      <c r="H16" s="3" t="s">
        <v>101</v>
      </c>
      <c r="I16" s="3" t="s">
        <v>26</v>
      </c>
      <c r="J16" s="3" t="s">
        <v>102</v>
      </c>
      <c r="K16" s="3" t="s">
        <v>103</v>
      </c>
      <c r="L16" s="2">
        <v>76106</v>
      </c>
      <c r="M16" s="3" t="s">
        <v>104</v>
      </c>
      <c r="N16" s="3" t="s">
        <v>105</v>
      </c>
      <c r="O16" s="3" t="s">
        <v>45</v>
      </c>
      <c r="P16" s="3" t="s">
        <v>77</v>
      </c>
      <c r="Q16" s="3" t="s">
        <v>106</v>
      </c>
      <c r="R16" s="2">
        <v>68.81</v>
      </c>
      <c r="S16" s="2">
        <v>5</v>
      </c>
      <c r="T16" s="2">
        <v>0.8</v>
      </c>
      <c r="U16" s="2">
        <v>-123.858</v>
      </c>
    </row>
    <row r="17" spans="1:21" ht="29.4" thickBot="1" x14ac:dyDescent="0.35">
      <c r="A17" s="5">
        <v>16</v>
      </c>
      <c r="B17" s="6" t="s">
        <v>98</v>
      </c>
      <c r="C17" s="7">
        <v>42330</v>
      </c>
      <c r="D17" s="7">
        <v>42334</v>
      </c>
      <c r="E17" s="6" t="s">
        <v>49</v>
      </c>
      <c r="F17" s="6" t="s">
        <v>99</v>
      </c>
      <c r="G17" s="6" t="s">
        <v>100</v>
      </c>
      <c r="H17" s="6" t="s">
        <v>101</v>
      </c>
      <c r="I17" s="6" t="s">
        <v>26</v>
      </c>
      <c r="J17" s="6" t="s">
        <v>102</v>
      </c>
      <c r="K17" s="6" t="s">
        <v>103</v>
      </c>
      <c r="L17" s="5">
        <v>76106</v>
      </c>
      <c r="M17" s="6" t="s">
        <v>104</v>
      </c>
      <c r="N17" s="6" t="s">
        <v>107</v>
      </c>
      <c r="O17" s="6" t="s">
        <v>45</v>
      </c>
      <c r="P17" s="6" t="s">
        <v>74</v>
      </c>
      <c r="Q17" s="6" t="s">
        <v>108</v>
      </c>
      <c r="R17" s="5">
        <v>2.544</v>
      </c>
      <c r="S17" s="5">
        <v>3</v>
      </c>
      <c r="T17" s="5">
        <v>0.8</v>
      </c>
      <c r="U17" s="5">
        <v>-3.8159999999999998</v>
      </c>
    </row>
    <row r="18" spans="1:21" ht="29.4" thickBot="1" x14ac:dyDescent="0.35">
      <c r="A18" s="2">
        <v>17</v>
      </c>
      <c r="B18" s="3" t="s">
        <v>109</v>
      </c>
      <c r="C18" s="4">
        <v>41954</v>
      </c>
      <c r="D18" s="4">
        <v>41961</v>
      </c>
      <c r="E18" s="3" t="s">
        <v>49</v>
      </c>
      <c r="F18" s="3" t="s">
        <v>110</v>
      </c>
      <c r="G18" s="3" t="s">
        <v>111</v>
      </c>
      <c r="H18" s="3" t="s">
        <v>25</v>
      </c>
      <c r="I18" s="3" t="s">
        <v>26</v>
      </c>
      <c r="J18" s="3" t="s">
        <v>112</v>
      </c>
      <c r="K18" s="3" t="s">
        <v>113</v>
      </c>
      <c r="L18" s="2">
        <v>53711</v>
      </c>
      <c r="M18" s="3" t="s">
        <v>104</v>
      </c>
      <c r="N18" s="3" t="s">
        <v>114</v>
      </c>
      <c r="O18" s="3" t="s">
        <v>45</v>
      </c>
      <c r="P18" s="3" t="s">
        <v>58</v>
      </c>
      <c r="Q18" s="3" t="s">
        <v>115</v>
      </c>
      <c r="R18" s="2">
        <v>665.88</v>
      </c>
      <c r="S18" s="2">
        <v>6</v>
      </c>
      <c r="T18" s="2">
        <v>0</v>
      </c>
      <c r="U18" s="2">
        <v>13.317600000000001</v>
      </c>
    </row>
    <row r="19" spans="1:21" ht="29.4" thickBot="1" x14ac:dyDescent="0.35">
      <c r="A19" s="5">
        <v>18</v>
      </c>
      <c r="B19" s="6" t="s">
        <v>116</v>
      </c>
      <c r="C19" s="7">
        <v>41772</v>
      </c>
      <c r="D19" s="7">
        <v>41774</v>
      </c>
      <c r="E19" s="6" t="s">
        <v>22</v>
      </c>
      <c r="F19" s="6" t="s">
        <v>117</v>
      </c>
      <c r="G19" s="6" t="s">
        <v>118</v>
      </c>
      <c r="H19" s="6" t="s">
        <v>25</v>
      </c>
      <c r="I19" s="6" t="s">
        <v>26</v>
      </c>
      <c r="J19" s="6" t="s">
        <v>119</v>
      </c>
      <c r="K19" s="6" t="s">
        <v>120</v>
      </c>
      <c r="L19" s="5">
        <v>84084</v>
      </c>
      <c r="M19" s="6" t="s">
        <v>43</v>
      </c>
      <c r="N19" s="6" t="s">
        <v>121</v>
      </c>
      <c r="O19" s="6" t="s">
        <v>45</v>
      </c>
      <c r="P19" s="6" t="s">
        <v>58</v>
      </c>
      <c r="Q19" s="6" t="s">
        <v>122</v>
      </c>
      <c r="R19" s="5">
        <v>55.5</v>
      </c>
      <c r="S19" s="5">
        <v>2</v>
      </c>
      <c r="T19" s="5">
        <v>0</v>
      </c>
      <c r="U19" s="5">
        <v>9.99</v>
      </c>
    </row>
    <row r="20" spans="1:21" ht="29.4" thickBot="1" x14ac:dyDescent="0.35">
      <c r="A20" s="2">
        <v>19</v>
      </c>
      <c r="B20" s="3" t="s">
        <v>123</v>
      </c>
      <c r="C20" s="4">
        <v>41878</v>
      </c>
      <c r="D20" s="4">
        <v>41883</v>
      </c>
      <c r="E20" s="3" t="s">
        <v>22</v>
      </c>
      <c r="F20" s="3" t="s">
        <v>124</v>
      </c>
      <c r="G20" s="3" t="s">
        <v>125</v>
      </c>
      <c r="H20" s="3" t="s">
        <v>25</v>
      </c>
      <c r="I20" s="3" t="s">
        <v>26</v>
      </c>
      <c r="J20" s="3" t="s">
        <v>126</v>
      </c>
      <c r="K20" s="3" t="s">
        <v>42</v>
      </c>
      <c r="L20" s="2">
        <v>94109</v>
      </c>
      <c r="M20" s="3" t="s">
        <v>43</v>
      </c>
      <c r="N20" s="3" t="s">
        <v>127</v>
      </c>
      <c r="O20" s="3" t="s">
        <v>45</v>
      </c>
      <c r="P20" s="3" t="s">
        <v>67</v>
      </c>
      <c r="Q20" s="3" t="s">
        <v>128</v>
      </c>
      <c r="R20" s="2">
        <v>8.56</v>
      </c>
      <c r="S20" s="2">
        <v>2</v>
      </c>
      <c r="T20" s="2">
        <v>0</v>
      </c>
      <c r="U20" s="2">
        <v>2.4824000000000002</v>
      </c>
    </row>
    <row r="21" spans="1:21" ht="29.4" thickBot="1" x14ac:dyDescent="0.35">
      <c r="A21" s="5">
        <v>20</v>
      </c>
      <c r="B21" s="6" t="s">
        <v>123</v>
      </c>
      <c r="C21" s="7">
        <v>41878</v>
      </c>
      <c r="D21" s="7">
        <v>41883</v>
      </c>
      <c r="E21" s="6" t="s">
        <v>22</v>
      </c>
      <c r="F21" s="6" t="s">
        <v>124</v>
      </c>
      <c r="G21" s="6" t="s">
        <v>125</v>
      </c>
      <c r="H21" s="6" t="s">
        <v>25</v>
      </c>
      <c r="I21" s="6" t="s">
        <v>26</v>
      </c>
      <c r="J21" s="6" t="s">
        <v>126</v>
      </c>
      <c r="K21" s="6" t="s">
        <v>42</v>
      </c>
      <c r="L21" s="5">
        <v>94109</v>
      </c>
      <c r="M21" s="6" t="s">
        <v>43</v>
      </c>
      <c r="N21" s="6" t="s">
        <v>129</v>
      </c>
      <c r="O21" s="6" t="s">
        <v>70</v>
      </c>
      <c r="P21" s="6" t="s">
        <v>71</v>
      </c>
      <c r="Q21" s="6" t="s">
        <v>130</v>
      </c>
      <c r="R21" s="5">
        <v>213.48</v>
      </c>
      <c r="S21" s="5">
        <v>3</v>
      </c>
      <c r="T21" s="5">
        <v>0.2</v>
      </c>
      <c r="U21" s="5">
        <v>16.010999999999999</v>
      </c>
    </row>
    <row r="22" spans="1:21" ht="29.4" thickBot="1" x14ac:dyDescent="0.35">
      <c r="A22" s="2">
        <v>21</v>
      </c>
      <c r="B22" s="3" t="s">
        <v>123</v>
      </c>
      <c r="C22" s="4">
        <v>41878</v>
      </c>
      <c r="D22" s="4">
        <v>41883</v>
      </c>
      <c r="E22" s="3" t="s">
        <v>22</v>
      </c>
      <c r="F22" s="3" t="s">
        <v>124</v>
      </c>
      <c r="G22" s="3" t="s">
        <v>125</v>
      </c>
      <c r="H22" s="3" t="s">
        <v>25</v>
      </c>
      <c r="I22" s="3" t="s">
        <v>26</v>
      </c>
      <c r="J22" s="3" t="s">
        <v>126</v>
      </c>
      <c r="K22" s="3" t="s">
        <v>42</v>
      </c>
      <c r="L22" s="2">
        <v>94109</v>
      </c>
      <c r="M22" s="3" t="s">
        <v>43</v>
      </c>
      <c r="N22" s="3" t="s">
        <v>131</v>
      </c>
      <c r="O22" s="3" t="s">
        <v>45</v>
      </c>
      <c r="P22" s="3" t="s">
        <v>74</v>
      </c>
      <c r="Q22" s="3" t="s">
        <v>132</v>
      </c>
      <c r="R22" s="2">
        <v>22.72</v>
      </c>
      <c r="S22" s="2">
        <v>4</v>
      </c>
      <c r="T22" s="2">
        <v>0.2</v>
      </c>
      <c r="U22" s="2">
        <v>7.3840000000000003</v>
      </c>
    </row>
    <row r="23" spans="1:21" ht="29.4" thickBot="1" x14ac:dyDescent="0.35">
      <c r="A23" s="5">
        <v>22</v>
      </c>
      <c r="B23" s="6" t="s">
        <v>133</v>
      </c>
      <c r="C23" s="7">
        <v>42713</v>
      </c>
      <c r="D23" s="7">
        <v>42717</v>
      </c>
      <c r="E23" s="6" t="s">
        <v>49</v>
      </c>
      <c r="F23" s="6" t="s">
        <v>134</v>
      </c>
      <c r="G23" s="6" t="s">
        <v>135</v>
      </c>
      <c r="H23" s="6" t="s">
        <v>40</v>
      </c>
      <c r="I23" s="6" t="s">
        <v>26</v>
      </c>
      <c r="J23" s="6" t="s">
        <v>136</v>
      </c>
      <c r="K23" s="6" t="s">
        <v>137</v>
      </c>
      <c r="L23" s="5">
        <v>68025</v>
      </c>
      <c r="M23" s="6" t="s">
        <v>104</v>
      </c>
      <c r="N23" s="6" t="s">
        <v>138</v>
      </c>
      <c r="O23" s="6" t="s">
        <v>45</v>
      </c>
      <c r="P23" s="6" t="s">
        <v>67</v>
      </c>
      <c r="Q23" s="6" t="s">
        <v>139</v>
      </c>
      <c r="R23" s="5">
        <v>19.46</v>
      </c>
      <c r="S23" s="5">
        <v>7</v>
      </c>
      <c r="T23" s="5">
        <v>0</v>
      </c>
      <c r="U23" s="5">
        <v>5.0595999999999997</v>
      </c>
    </row>
    <row r="24" spans="1:21" ht="29.4" thickBot="1" x14ac:dyDescent="0.35">
      <c r="A24" s="2">
        <v>23</v>
      </c>
      <c r="B24" s="3" t="s">
        <v>133</v>
      </c>
      <c r="C24" s="4">
        <v>42713</v>
      </c>
      <c r="D24" s="4">
        <v>42717</v>
      </c>
      <c r="E24" s="3" t="s">
        <v>49</v>
      </c>
      <c r="F24" s="3" t="s">
        <v>134</v>
      </c>
      <c r="G24" s="3" t="s">
        <v>135</v>
      </c>
      <c r="H24" s="3" t="s">
        <v>40</v>
      </c>
      <c r="I24" s="3" t="s">
        <v>26</v>
      </c>
      <c r="J24" s="3" t="s">
        <v>136</v>
      </c>
      <c r="K24" s="3" t="s">
        <v>137</v>
      </c>
      <c r="L24" s="2">
        <v>68025</v>
      </c>
      <c r="M24" s="3" t="s">
        <v>104</v>
      </c>
      <c r="N24" s="3" t="s">
        <v>140</v>
      </c>
      <c r="O24" s="3" t="s">
        <v>45</v>
      </c>
      <c r="P24" s="3" t="s">
        <v>77</v>
      </c>
      <c r="Q24" s="3" t="s">
        <v>141</v>
      </c>
      <c r="R24" s="2">
        <v>60.34</v>
      </c>
      <c r="S24" s="2">
        <v>7</v>
      </c>
      <c r="T24" s="2">
        <v>0</v>
      </c>
      <c r="U24" s="2">
        <v>15.6884</v>
      </c>
    </row>
    <row r="25" spans="1:21" ht="29.4" thickBot="1" x14ac:dyDescent="0.35">
      <c r="A25" s="5">
        <v>24</v>
      </c>
      <c r="B25" s="6" t="s">
        <v>142</v>
      </c>
      <c r="C25" s="7">
        <v>42932</v>
      </c>
      <c r="D25" s="7">
        <v>42934</v>
      </c>
      <c r="E25" s="6" t="s">
        <v>22</v>
      </c>
      <c r="F25" s="6" t="s">
        <v>143</v>
      </c>
      <c r="G25" s="6" t="s">
        <v>144</v>
      </c>
      <c r="H25" s="6" t="s">
        <v>25</v>
      </c>
      <c r="I25" s="6" t="s">
        <v>26</v>
      </c>
      <c r="J25" s="6" t="s">
        <v>145</v>
      </c>
      <c r="K25" s="6" t="s">
        <v>146</v>
      </c>
      <c r="L25" s="5">
        <v>19140</v>
      </c>
      <c r="M25" s="6" t="s">
        <v>147</v>
      </c>
      <c r="N25" s="6" t="s">
        <v>148</v>
      </c>
      <c r="O25" s="6" t="s">
        <v>31</v>
      </c>
      <c r="P25" s="6" t="s">
        <v>35</v>
      </c>
      <c r="Q25" s="6" t="s">
        <v>149</v>
      </c>
      <c r="R25" s="5">
        <v>71.372</v>
      </c>
      <c r="S25" s="5">
        <v>2</v>
      </c>
      <c r="T25" s="5">
        <v>0.3</v>
      </c>
      <c r="U25" s="5">
        <v>-1.0196000000000001</v>
      </c>
    </row>
    <row r="26" spans="1:21" ht="29.4" thickBot="1" x14ac:dyDescent="0.35">
      <c r="A26" s="2">
        <v>25</v>
      </c>
      <c r="B26" s="3" t="s">
        <v>150</v>
      </c>
      <c r="C26" s="4">
        <v>42272</v>
      </c>
      <c r="D26" s="4">
        <v>42277</v>
      </c>
      <c r="E26" s="3" t="s">
        <v>49</v>
      </c>
      <c r="F26" s="3" t="s">
        <v>151</v>
      </c>
      <c r="G26" s="3" t="s">
        <v>152</v>
      </c>
      <c r="H26" s="3" t="s">
        <v>25</v>
      </c>
      <c r="I26" s="3" t="s">
        <v>26</v>
      </c>
      <c r="J26" s="3" t="s">
        <v>153</v>
      </c>
      <c r="K26" s="3" t="s">
        <v>120</v>
      </c>
      <c r="L26" s="2">
        <v>84057</v>
      </c>
      <c r="M26" s="3" t="s">
        <v>43</v>
      </c>
      <c r="N26" s="3" t="s">
        <v>54</v>
      </c>
      <c r="O26" s="3" t="s">
        <v>31</v>
      </c>
      <c r="P26" s="3" t="s">
        <v>55</v>
      </c>
      <c r="Q26" s="3" t="s">
        <v>56</v>
      </c>
      <c r="R26" s="2">
        <v>1044.6300000000001</v>
      </c>
      <c r="S26" s="2">
        <v>3</v>
      </c>
      <c r="T26" s="2">
        <v>0</v>
      </c>
      <c r="U26" s="2">
        <v>240.26490000000001</v>
      </c>
    </row>
    <row r="27" spans="1:21" ht="29.4" thickBot="1" x14ac:dyDescent="0.35">
      <c r="A27" s="5">
        <v>26</v>
      </c>
      <c r="B27" s="6" t="s">
        <v>154</v>
      </c>
      <c r="C27" s="7">
        <v>42385</v>
      </c>
      <c r="D27" s="7">
        <v>42389</v>
      </c>
      <c r="E27" s="6" t="s">
        <v>22</v>
      </c>
      <c r="F27" s="6" t="s">
        <v>155</v>
      </c>
      <c r="G27" s="6" t="s">
        <v>156</v>
      </c>
      <c r="H27" s="6" t="s">
        <v>25</v>
      </c>
      <c r="I27" s="6" t="s">
        <v>26</v>
      </c>
      <c r="J27" s="6" t="s">
        <v>41</v>
      </c>
      <c r="K27" s="6" t="s">
        <v>42</v>
      </c>
      <c r="L27" s="5">
        <v>90049</v>
      </c>
      <c r="M27" s="6" t="s">
        <v>43</v>
      </c>
      <c r="N27" s="6" t="s">
        <v>157</v>
      </c>
      <c r="O27" s="6" t="s">
        <v>45</v>
      </c>
      <c r="P27" s="6" t="s">
        <v>74</v>
      </c>
      <c r="Q27" s="6" t="s">
        <v>158</v>
      </c>
      <c r="R27" s="5">
        <v>11.648</v>
      </c>
      <c r="S27" s="5">
        <v>2</v>
      </c>
      <c r="T27" s="5">
        <v>0.2</v>
      </c>
      <c r="U27" s="5">
        <v>4.2224000000000004</v>
      </c>
    </row>
    <row r="28" spans="1:21" ht="29.4" thickBot="1" x14ac:dyDescent="0.35">
      <c r="A28" s="2">
        <v>27</v>
      </c>
      <c r="B28" s="3" t="s">
        <v>154</v>
      </c>
      <c r="C28" s="4">
        <v>42385</v>
      </c>
      <c r="D28" s="4">
        <v>42389</v>
      </c>
      <c r="E28" s="3" t="s">
        <v>22</v>
      </c>
      <c r="F28" s="3" t="s">
        <v>155</v>
      </c>
      <c r="G28" s="3" t="s">
        <v>156</v>
      </c>
      <c r="H28" s="3" t="s">
        <v>25</v>
      </c>
      <c r="I28" s="3" t="s">
        <v>26</v>
      </c>
      <c r="J28" s="3" t="s">
        <v>41</v>
      </c>
      <c r="K28" s="3" t="s">
        <v>42</v>
      </c>
      <c r="L28" s="2">
        <v>90049</v>
      </c>
      <c r="M28" s="3" t="s">
        <v>43</v>
      </c>
      <c r="N28" s="3" t="s">
        <v>159</v>
      </c>
      <c r="O28" s="3" t="s">
        <v>70</v>
      </c>
      <c r="P28" s="3" t="s">
        <v>160</v>
      </c>
      <c r="Q28" s="3" t="s">
        <v>161</v>
      </c>
      <c r="R28" s="2">
        <v>90.57</v>
      </c>
      <c r="S28" s="2">
        <v>3</v>
      </c>
      <c r="T28" s="2">
        <v>0</v>
      </c>
      <c r="U28" s="2">
        <v>11.774100000000001</v>
      </c>
    </row>
    <row r="29" spans="1:21" ht="29.4" thickBot="1" x14ac:dyDescent="0.35">
      <c r="A29" s="5">
        <v>28</v>
      </c>
      <c r="B29" s="6" t="s">
        <v>162</v>
      </c>
      <c r="C29" s="7">
        <v>42264</v>
      </c>
      <c r="D29" s="7">
        <v>42268</v>
      </c>
      <c r="E29" s="6" t="s">
        <v>49</v>
      </c>
      <c r="F29" s="6" t="s">
        <v>163</v>
      </c>
      <c r="G29" s="6" t="s">
        <v>164</v>
      </c>
      <c r="H29" s="6" t="s">
        <v>25</v>
      </c>
      <c r="I29" s="6" t="s">
        <v>26</v>
      </c>
      <c r="J29" s="6" t="s">
        <v>145</v>
      </c>
      <c r="K29" s="6" t="s">
        <v>146</v>
      </c>
      <c r="L29" s="5">
        <v>19140</v>
      </c>
      <c r="M29" s="6" t="s">
        <v>147</v>
      </c>
      <c r="N29" s="6" t="s">
        <v>165</v>
      </c>
      <c r="O29" s="6" t="s">
        <v>31</v>
      </c>
      <c r="P29" s="6" t="s">
        <v>32</v>
      </c>
      <c r="Q29" s="6" t="s">
        <v>166</v>
      </c>
      <c r="R29" s="5">
        <v>3083.43</v>
      </c>
      <c r="S29" s="5">
        <v>7</v>
      </c>
      <c r="T29" s="5">
        <v>0.5</v>
      </c>
      <c r="U29" s="5">
        <v>-1665.0522000000001</v>
      </c>
    </row>
    <row r="30" spans="1:21" ht="29.4" thickBot="1" x14ac:dyDescent="0.35">
      <c r="A30" s="2">
        <v>29</v>
      </c>
      <c r="B30" s="3" t="s">
        <v>162</v>
      </c>
      <c r="C30" s="4">
        <v>42264</v>
      </c>
      <c r="D30" s="4">
        <v>42268</v>
      </c>
      <c r="E30" s="3" t="s">
        <v>49</v>
      </c>
      <c r="F30" s="3" t="s">
        <v>163</v>
      </c>
      <c r="G30" s="3" t="s">
        <v>164</v>
      </c>
      <c r="H30" s="3" t="s">
        <v>25</v>
      </c>
      <c r="I30" s="3" t="s">
        <v>26</v>
      </c>
      <c r="J30" s="3" t="s">
        <v>145</v>
      </c>
      <c r="K30" s="3" t="s">
        <v>146</v>
      </c>
      <c r="L30" s="2">
        <v>19140</v>
      </c>
      <c r="M30" s="3" t="s">
        <v>147</v>
      </c>
      <c r="N30" s="3" t="s">
        <v>167</v>
      </c>
      <c r="O30" s="3" t="s">
        <v>45</v>
      </c>
      <c r="P30" s="3" t="s">
        <v>74</v>
      </c>
      <c r="Q30" s="3" t="s">
        <v>168</v>
      </c>
      <c r="R30" s="2">
        <v>9.6180000000000003</v>
      </c>
      <c r="S30" s="2">
        <v>2</v>
      </c>
      <c r="T30" s="2">
        <v>0.7</v>
      </c>
      <c r="U30" s="2">
        <v>-7.0532000000000004</v>
      </c>
    </row>
    <row r="31" spans="1:21" ht="29.4" thickBot="1" x14ac:dyDescent="0.35">
      <c r="A31" s="5">
        <v>30</v>
      </c>
      <c r="B31" s="6" t="s">
        <v>162</v>
      </c>
      <c r="C31" s="7">
        <v>42264</v>
      </c>
      <c r="D31" s="7">
        <v>42268</v>
      </c>
      <c r="E31" s="6" t="s">
        <v>49</v>
      </c>
      <c r="F31" s="6" t="s">
        <v>163</v>
      </c>
      <c r="G31" s="6" t="s">
        <v>164</v>
      </c>
      <c r="H31" s="6" t="s">
        <v>25</v>
      </c>
      <c r="I31" s="6" t="s">
        <v>26</v>
      </c>
      <c r="J31" s="6" t="s">
        <v>145</v>
      </c>
      <c r="K31" s="6" t="s">
        <v>146</v>
      </c>
      <c r="L31" s="5">
        <v>19140</v>
      </c>
      <c r="M31" s="6" t="s">
        <v>147</v>
      </c>
      <c r="N31" s="6" t="s">
        <v>169</v>
      </c>
      <c r="O31" s="6" t="s">
        <v>31</v>
      </c>
      <c r="P31" s="6" t="s">
        <v>64</v>
      </c>
      <c r="Q31" s="6" t="s">
        <v>170</v>
      </c>
      <c r="R31" s="5">
        <v>124.2</v>
      </c>
      <c r="S31" s="5">
        <v>3</v>
      </c>
      <c r="T31" s="5">
        <v>0.2</v>
      </c>
      <c r="U31" s="5">
        <v>15.525</v>
      </c>
    </row>
    <row r="32" spans="1:21" ht="29.4" thickBot="1" x14ac:dyDescent="0.35">
      <c r="A32" s="2">
        <v>31</v>
      </c>
      <c r="B32" s="3" t="s">
        <v>162</v>
      </c>
      <c r="C32" s="4">
        <v>42264</v>
      </c>
      <c r="D32" s="4">
        <v>42268</v>
      </c>
      <c r="E32" s="3" t="s">
        <v>49</v>
      </c>
      <c r="F32" s="3" t="s">
        <v>163</v>
      </c>
      <c r="G32" s="3" t="s">
        <v>164</v>
      </c>
      <c r="H32" s="3" t="s">
        <v>25</v>
      </c>
      <c r="I32" s="3" t="s">
        <v>26</v>
      </c>
      <c r="J32" s="3" t="s">
        <v>145</v>
      </c>
      <c r="K32" s="3" t="s">
        <v>146</v>
      </c>
      <c r="L32" s="2">
        <v>19140</v>
      </c>
      <c r="M32" s="3" t="s">
        <v>147</v>
      </c>
      <c r="N32" s="3" t="s">
        <v>171</v>
      </c>
      <c r="O32" s="3" t="s">
        <v>45</v>
      </c>
      <c r="P32" s="3" t="s">
        <v>172</v>
      </c>
      <c r="Q32" s="3" t="s">
        <v>173</v>
      </c>
      <c r="R32" s="2">
        <v>3.2639999999999998</v>
      </c>
      <c r="S32" s="2">
        <v>2</v>
      </c>
      <c r="T32" s="2">
        <v>0.2</v>
      </c>
      <c r="U32" s="2">
        <v>1.1015999999999999</v>
      </c>
    </row>
    <row r="33" spans="1:21" ht="29.4" thickBot="1" x14ac:dyDescent="0.35">
      <c r="A33" s="5">
        <v>32</v>
      </c>
      <c r="B33" s="6" t="s">
        <v>162</v>
      </c>
      <c r="C33" s="7">
        <v>42264</v>
      </c>
      <c r="D33" s="7">
        <v>42268</v>
      </c>
      <c r="E33" s="6" t="s">
        <v>49</v>
      </c>
      <c r="F33" s="6" t="s">
        <v>163</v>
      </c>
      <c r="G33" s="6" t="s">
        <v>164</v>
      </c>
      <c r="H33" s="6" t="s">
        <v>25</v>
      </c>
      <c r="I33" s="6" t="s">
        <v>26</v>
      </c>
      <c r="J33" s="6" t="s">
        <v>145</v>
      </c>
      <c r="K33" s="6" t="s">
        <v>146</v>
      </c>
      <c r="L33" s="5">
        <v>19140</v>
      </c>
      <c r="M33" s="6" t="s">
        <v>147</v>
      </c>
      <c r="N33" s="6" t="s">
        <v>174</v>
      </c>
      <c r="O33" s="6" t="s">
        <v>45</v>
      </c>
      <c r="P33" s="6" t="s">
        <v>67</v>
      </c>
      <c r="Q33" s="6" t="s">
        <v>175</v>
      </c>
      <c r="R33" s="5">
        <v>86.304000000000002</v>
      </c>
      <c r="S33" s="5">
        <v>6</v>
      </c>
      <c r="T33" s="5">
        <v>0.2</v>
      </c>
      <c r="U33" s="5">
        <v>9.7091999999999992</v>
      </c>
    </row>
    <row r="34" spans="1:21" ht="29.4" thickBot="1" x14ac:dyDescent="0.35">
      <c r="A34" s="2">
        <v>33</v>
      </c>
      <c r="B34" s="3" t="s">
        <v>162</v>
      </c>
      <c r="C34" s="4">
        <v>42264</v>
      </c>
      <c r="D34" s="4">
        <v>42268</v>
      </c>
      <c r="E34" s="3" t="s">
        <v>49</v>
      </c>
      <c r="F34" s="3" t="s">
        <v>163</v>
      </c>
      <c r="G34" s="3" t="s">
        <v>164</v>
      </c>
      <c r="H34" s="3" t="s">
        <v>25</v>
      </c>
      <c r="I34" s="3" t="s">
        <v>26</v>
      </c>
      <c r="J34" s="3" t="s">
        <v>145</v>
      </c>
      <c r="K34" s="3" t="s">
        <v>146</v>
      </c>
      <c r="L34" s="2">
        <v>19140</v>
      </c>
      <c r="M34" s="3" t="s">
        <v>147</v>
      </c>
      <c r="N34" s="3" t="s">
        <v>176</v>
      </c>
      <c r="O34" s="3" t="s">
        <v>45</v>
      </c>
      <c r="P34" s="3" t="s">
        <v>74</v>
      </c>
      <c r="Q34" s="3" t="s">
        <v>177</v>
      </c>
      <c r="R34" s="2">
        <v>6.8579999999999997</v>
      </c>
      <c r="S34" s="2">
        <v>6</v>
      </c>
      <c r="T34" s="2">
        <v>0.7</v>
      </c>
      <c r="U34" s="2">
        <v>-5.7149999999999999</v>
      </c>
    </row>
    <row r="35" spans="1:21" ht="29.4" thickBot="1" x14ac:dyDescent="0.35">
      <c r="A35" s="5">
        <v>34</v>
      </c>
      <c r="B35" s="6" t="s">
        <v>162</v>
      </c>
      <c r="C35" s="7">
        <v>42264</v>
      </c>
      <c r="D35" s="7">
        <v>42268</v>
      </c>
      <c r="E35" s="6" t="s">
        <v>49</v>
      </c>
      <c r="F35" s="6" t="s">
        <v>163</v>
      </c>
      <c r="G35" s="6" t="s">
        <v>164</v>
      </c>
      <c r="H35" s="6" t="s">
        <v>25</v>
      </c>
      <c r="I35" s="6" t="s">
        <v>26</v>
      </c>
      <c r="J35" s="6" t="s">
        <v>145</v>
      </c>
      <c r="K35" s="6" t="s">
        <v>146</v>
      </c>
      <c r="L35" s="5">
        <v>19140</v>
      </c>
      <c r="M35" s="6" t="s">
        <v>147</v>
      </c>
      <c r="N35" s="6" t="s">
        <v>178</v>
      </c>
      <c r="O35" s="6" t="s">
        <v>45</v>
      </c>
      <c r="P35" s="6" t="s">
        <v>67</v>
      </c>
      <c r="Q35" s="6" t="s">
        <v>179</v>
      </c>
      <c r="R35" s="5">
        <v>15.76</v>
      </c>
      <c r="S35" s="5">
        <v>2</v>
      </c>
      <c r="T35" s="5">
        <v>0.2</v>
      </c>
      <c r="U35" s="5">
        <v>3.5459999999999998</v>
      </c>
    </row>
    <row r="36" spans="1:21" ht="29.4" thickBot="1" x14ac:dyDescent="0.35">
      <c r="A36" s="2">
        <v>35</v>
      </c>
      <c r="B36" s="3" t="s">
        <v>180</v>
      </c>
      <c r="C36" s="4">
        <v>43027</v>
      </c>
      <c r="D36" s="4">
        <v>43031</v>
      </c>
      <c r="E36" s="3" t="s">
        <v>22</v>
      </c>
      <c r="F36" s="3" t="s">
        <v>181</v>
      </c>
      <c r="G36" s="3" t="s">
        <v>182</v>
      </c>
      <c r="H36" s="3" t="s">
        <v>101</v>
      </c>
      <c r="I36" s="3" t="s">
        <v>26</v>
      </c>
      <c r="J36" s="3" t="s">
        <v>183</v>
      </c>
      <c r="K36" s="3" t="s">
        <v>103</v>
      </c>
      <c r="L36" s="2">
        <v>77095</v>
      </c>
      <c r="M36" s="3" t="s">
        <v>104</v>
      </c>
      <c r="N36" s="3" t="s">
        <v>184</v>
      </c>
      <c r="O36" s="3" t="s">
        <v>45</v>
      </c>
      <c r="P36" s="3" t="s">
        <v>89</v>
      </c>
      <c r="Q36" s="3" t="s">
        <v>185</v>
      </c>
      <c r="R36" s="2">
        <v>29.472000000000001</v>
      </c>
      <c r="S36" s="2">
        <v>3</v>
      </c>
      <c r="T36" s="2">
        <v>0.2</v>
      </c>
      <c r="U36" s="2">
        <v>9.9467999999999996</v>
      </c>
    </row>
    <row r="37" spans="1:21" ht="29.4" thickBot="1" x14ac:dyDescent="0.35">
      <c r="A37" s="5">
        <v>36</v>
      </c>
      <c r="B37" s="6" t="s">
        <v>186</v>
      </c>
      <c r="C37" s="7">
        <v>42712</v>
      </c>
      <c r="D37" s="7">
        <v>42714</v>
      </c>
      <c r="E37" s="6" t="s">
        <v>187</v>
      </c>
      <c r="F37" s="6" t="s">
        <v>188</v>
      </c>
      <c r="G37" s="6" t="s">
        <v>189</v>
      </c>
      <c r="H37" s="6" t="s">
        <v>40</v>
      </c>
      <c r="I37" s="6" t="s">
        <v>26</v>
      </c>
      <c r="J37" s="6" t="s">
        <v>190</v>
      </c>
      <c r="K37" s="6" t="s">
        <v>103</v>
      </c>
      <c r="L37" s="5">
        <v>75080</v>
      </c>
      <c r="M37" s="6" t="s">
        <v>104</v>
      </c>
      <c r="N37" s="6" t="s">
        <v>191</v>
      </c>
      <c r="O37" s="6" t="s">
        <v>70</v>
      </c>
      <c r="P37" s="6" t="s">
        <v>71</v>
      </c>
      <c r="Q37" s="6" t="s">
        <v>192</v>
      </c>
      <c r="R37" s="5">
        <v>1097.5440000000001</v>
      </c>
      <c r="S37" s="5">
        <v>7</v>
      </c>
      <c r="T37" s="5">
        <v>0.2</v>
      </c>
      <c r="U37" s="5">
        <v>123.47369999999999</v>
      </c>
    </row>
    <row r="38" spans="1:21" ht="29.4" thickBot="1" x14ac:dyDescent="0.35">
      <c r="A38" s="2">
        <v>37</v>
      </c>
      <c r="B38" s="3" t="s">
        <v>186</v>
      </c>
      <c r="C38" s="4">
        <v>42712</v>
      </c>
      <c r="D38" s="4">
        <v>42714</v>
      </c>
      <c r="E38" s="3" t="s">
        <v>187</v>
      </c>
      <c r="F38" s="3" t="s">
        <v>188</v>
      </c>
      <c r="G38" s="3" t="s">
        <v>189</v>
      </c>
      <c r="H38" s="3" t="s">
        <v>40</v>
      </c>
      <c r="I38" s="3" t="s">
        <v>26</v>
      </c>
      <c r="J38" s="3" t="s">
        <v>190</v>
      </c>
      <c r="K38" s="3" t="s">
        <v>103</v>
      </c>
      <c r="L38" s="2">
        <v>75080</v>
      </c>
      <c r="M38" s="3" t="s">
        <v>104</v>
      </c>
      <c r="N38" s="3" t="s">
        <v>193</v>
      </c>
      <c r="O38" s="3" t="s">
        <v>31</v>
      </c>
      <c r="P38" s="3" t="s">
        <v>64</v>
      </c>
      <c r="Q38" s="3" t="s">
        <v>194</v>
      </c>
      <c r="R38" s="2">
        <v>190.92</v>
      </c>
      <c r="S38" s="2">
        <v>5</v>
      </c>
      <c r="T38" s="2">
        <v>0.6</v>
      </c>
      <c r="U38" s="2">
        <v>-147.96299999999999</v>
      </c>
    </row>
    <row r="39" spans="1:21" ht="29.4" thickBot="1" x14ac:dyDescent="0.35">
      <c r="A39" s="5">
        <v>38</v>
      </c>
      <c r="B39" s="6" t="s">
        <v>195</v>
      </c>
      <c r="C39" s="7">
        <v>42365</v>
      </c>
      <c r="D39" s="7">
        <v>42369</v>
      </c>
      <c r="E39" s="6" t="s">
        <v>49</v>
      </c>
      <c r="F39" s="6" t="s">
        <v>196</v>
      </c>
      <c r="G39" s="6" t="s">
        <v>197</v>
      </c>
      <c r="H39" s="6" t="s">
        <v>101</v>
      </c>
      <c r="I39" s="6" t="s">
        <v>26</v>
      </c>
      <c r="J39" s="6" t="s">
        <v>183</v>
      </c>
      <c r="K39" s="6" t="s">
        <v>103</v>
      </c>
      <c r="L39" s="5">
        <v>77041</v>
      </c>
      <c r="M39" s="6" t="s">
        <v>104</v>
      </c>
      <c r="N39" s="6" t="s">
        <v>198</v>
      </c>
      <c r="O39" s="6" t="s">
        <v>45</v>
      </c>
      <c r="P39" s="6" t="s">
        <v>172</v>
      </c>
      <c r="Q39" s="6" t="s">
        <v>199</v>
      </c>
      <c r="R39" s="5">
        <v>113.328</v>
      </c>
      <c r="S39" s="5">
        <v>9</v>
      </c>
      <c r="T39" s="5">
        <v>0.2</v>
      </c>
      <c r="U39" s="5">
        <v>35.414999999999999</v>
      </c>
    </row>
    <row r="40" spans="1:21" ht="29.4" thickBot="1" x14ac:dyDescent="0.35">
      <c r="A40" s="2">
        <v>39</v>
      </c>
      <c r="B40" s="3" t="s">
        <v>195</v>
      </c>
      <c r="C40" s="4">
        <v>42365</v>
      </c>
      <c r="D40" s="4">
        <v>42369</v>
      </c>
      <c r="E40" s="3" t="s">
        <v>49</v>
      </c>
      <c r="F40" s="3" t="s">
        <v>196</v>
      </c>
      <c r="G40" s="3" t="s">
        <v>197</v>
      </c>
      <c r="H40" s="3" t="s">
        <v>101</v>
      </c>
      <c r="I40" s="3" t="s">
        <v>26</v>
      </c>
      <c r="J40" s="3" t="s">
        <v>183</v>
      </c>
      <c r="K40" s="3" t="s">
        <v>103</v>
      </c>
      <c r="L40" s="2">
        <v>77041</v>
      </c>
      <c r="M40" s="3" t="s">
        <v>104</v>
      </c>
      <c r="N40" s="3" t="s">
        <v>200</v>
      </c>
      <c r="O40" s="3" t="s">
        <v>31</v>
      </c>
      <c r="P40" s="3" t="s">
        <v>32</v>
      </c>
      <c r="Q40" s="3" t="s">
        <v>201</v>
      </c>
      <c r="R40" s="2">
        <v>532.39919999999995</v>
      </c>
      <c r="S40" s="2">
        <v>3</v>
      </c>
      <c r="T40" s="2">
        <v>0.32</v>
      </c>
      <c r="U40" s="2">
        <v>-46.976399999999998</v>
      </c>
    </row>
    <row r="41" spans="1:21" ht="29.4" thickBot="1" x14ac:dyDescent="0.35">
      <c r="A41" s="5">
        <v>40</v>
      </c>
      <c r="B41" s="6" t="s">
        <v>195</v>
      </c>
      <c r="C41" s="7">
        <v>42365</v>
      </c>
      <c r="D41" s="7">
        <v>42369</v>
      </c>
      <c r="E41" s="6" t="s">
        <v>49</v>
      </c>
      <c r="F41" s="6" t="s">
        <v>196</v>
      </c>
      <c r="G41" s="6" t="s">
        <v>197</v>
      </c>
      <c r="H41" s="6" t="s">
        <v>101</v>
      </c>
      <c r="I41" s="6" t="s">
        <v>26</v>
      </c>
      <c r="J41" s="6" t="s">
        <v>183</v>
      </c>
      <c r="K41" s="6" t="s">
        <v>103</v>
      </c>
      <c r="L41" s="5">
        <v>77041</v>
      </c>
      <c r="M41" s="6" t="s">
        <v>104</v>
      </c>
      <c r="N41" s="6" t="s">
        <v>202</v>
      </c>
      <c r="O41" s="6" t="s">
        <v>31</v>
      </c>
      <c r="P41" s="6" t="s">
        <v>35</v>
      </c>
      <c r="Q41" s="6" t="s">
        <v>203</v>
      </c>
      <c r="R41" s="5">
        <v>212.05799999999999</v>
      </c>
      <c r="S41" s="5">
        <v>3</v>
      </c>
      <c r="T41" s="5">
        <v>0.3</v>
      </c>
      <c r="U41" s="5">
        <v>-15.147</v>
      </c>
    </row>
    <row r="42" spans="1:21" ht="29.4" thickBot="1" x14ac:dyDescent="0.35">
      <c r="A42" s="2">
        <v>41</v>
      </c>
      <c r="B42" s="3" t="s">
        <v>195</v>
      </c>
      <c r="C42" s="4">
        <v>42365</v>
      </c>
      <c r="D42" s="4">
        <v>42369</v>
      </c>
      <c r="E42" s="3" t="s">
        <v>49</v>
      </c>
      <c r="F42" s="3" t="s">
        <v>196</v>
      </c>
      <c r="G42" s="3" t="s">
        <v>197</v>
      </c>
      <c r="H42" s="3" t="s">
        <v>101</v>
      </c>
      <c r="I42" s="3" t="s">
        <v>26</v>
      </c>
      <c r="J42" s="3" t="s">
        <v>183</v>
      </c>
      <c r="K42" s="3" t="s">
        <v>103</v>
      </c>
      <c r="L42" s="2">
        <v>77041</v>
      </c>
      <c r="M42" s="3" t="s">
        <v>104</v>
      </c>
      <c r="N42" s="3" t="s">
        <v>204</v>
      </c>
      <c r="O42" s="3" t="s">
        <v>70</v>
      </c>
      <c r="P42" s="3" t="s">
        <v>71</v>
      </c>
      <c r="Q42" s="3" t="s">
        <v>205</v>
      </c>
      <c r="R42" s="2">
        <v>371.16800000000001</v>
      </c>
      <c r="S42" s="2">
        <v>4</v>
      </c>
      <c r="T42" s="2">
        <v>0.2</v>
      </c>
      <c r="U42" s="2">
        <v>41.756399999999999</v>
      </c>
    </row>
    <row r="43" spans="1:21" ht="29.4" thickBot="1" x14ac:dyDescent="0.35">
      <c r="A43" s="5">
        <v>42</v>
      </c>
      <c r="B43" s="6" t="s">
        <v>206</v>
      </c>
      <c r="C43" s="7">
        <v>42988</v>
      </c>
      <c r="D43" s="7">
        <v>42993</v>
      </c>
      <c r="E43" s="6" t="s">
        <v>49</v>
      </c>
      <c r="F43" s="6" t="s">
        <v>207</v>
      </c>
      <c r="G43" s="6" t="s">
        <v>208</v>
      </c>
      <c r="H43" s="6" t="s">
        <v>40</v>
      </c>
      <c r="I43" s="6" t="s">
        <v>26</v>
      </c>
      <c r="J43" s="6" t="s">
        <v>209</v>
      </c>
      <c r="K43" s="6" t="s">
        <v>210</v>
      </c>
      <c r="L43" s="5">
        <v>60540</v>
      </c>
      <c r="M43" s="6" t="s">
        <v>104</v>
      </c>
      <c r="N43" s="6" t="s">
        <v>211</v>
      </c>
      <c r="O43" s="6" t="s">
        <v>70</v>
      </c>
      <c r="P43" s="6" t="s">
        <v>71</v>
      </c>
      <c r="Q43" s="6" t="s">
        <v>212</v>
      </c>
      <c r="R43" s="5">
        <v>147.16800000000001</v>
      </c>
      <c r="S43" s="5">
        <v>4</v>
      </c>
      <c r="T43" s="5">
        <v>0.2</v>
      </c>
      <c r="U43" s="5">
        <v>16.5564</v>
      </c>
    </row>
    <row r="44" spans="1:21" ht="29.4" thickBot="1" x14ac:dyDescent="0.35">
      <c r="A44" s="2">
        <v>43</v>
      </c>
      <c r="B44" s="3" t="s">
        <v>213</v>
      </c>
      <c r="C44" s="4">
        <v>42568</v>
      </c>
      <c r="D44" s="4">
        <v>42573</v>
      </c>
      <c r="E44" s="3" t="s">
        <v>49</v>
      </c>
      <c r="F44" s="3" t="s">
        <v>214</v>
      </c>
      <c r="G44" s="3" t="s">
        <v>215</v>
      </c>
      <c r="H44" s="3" t="s">
        <v>40</v>
      </c>
      <c r="I44" s="3" t="s">
        <v>26</v>
      </c>
      <c r="J44" s="3" t="s">
        <v>41</v>
      </c>
      <c r="K44" s="3" t="s">
        <v>42</v>
      </c>
      <c r="L44" s="2">
        <v>90049</v>
      </c>
      <c r="M44" s="3" t="s">
        <v>43</v>
      </c>
      <c r="N44" s="3" t="s">
        <v>216</v>
      </c>
      <c r="O44" s="3" t="s">
        <v>45</v>
      </c>
      <c r="P44" s="3" t="s">
        <v>58</v>
      </c>
      <c r="Q44" s="3" t="s">
        <v>217</v>
      </c>
      <c r="R44" s="2">
        <v>77.88</v>
      </c>
      <c r="S44" s="2">
        <v>2</v>
      </c>
      <c r="T44" s="2">
        <v>0</v>
      </c>
      <c r="U44" s="2">
        <v>3.8940000000000001</v>
      </c>
    </row>
    <row r="45" spans="1:21" ht="29.4" thickBot="1" x14ac:dyDescent="0.35">
      <c r="A45" s="5">
        <v>44</v>
      </c>
      <c r="B45" s="6" t="s">
        <v>218</v>
      </c>
      <c r="C45" s="7">
        <v>42997</v>
      </c>
      <c r="D45" s="7">
        <v>43001</v>
      </c>
      <c r="E45" s="6" t="s">
        <v>49</v>
      </c>
      <c r="F45" s="6" t="s">
        <v>219</v>
      </c>
      <c r="G45" s="6" t="s">
        <v>220</v>
      </c>
      <c r="H45" s="6" t="s">
        <v>40</v>
      </c>
      <c r="I45" s="6" t="s">
        <v>26</v>
      </c>
      <c r="J45" s="6" t="s">
        <v>221</v>
      </c>
      <c r="K45" s="6" t="s">
        <v>53</v>
      </c>
      <c r="L45" s="5">
        <v>32935</v>
      </c>
      <c r="M45" s="6" t="s">
        <v>29</v>
      </c>
      <c r="N45" s="6" t="s">
        <v>222</v>
      </c>
      <c r="O45" s="6" t="s">
        <v>45</v>
      </c>
      <c r="P45" s="6" t="s">
        <v>58</v>
      </c>
      <c r="Q45" s="6" t="s">
        <v>223</v>
      </c>
      <c r="R45" s="5">
        <v>95.616</v>
      </c>
      <c r="S45" s="5">
        <v>2</v>
      </c>
      <c r="T45" s="5">
        <v>0.2</v>
      </c>
      <c r="U45" s="5">
        <v>9.5616000000000003</v>
      </c>
    </row>
    <row r="46" spans="1:21" ht="29.4" thickBot="1" x14ac:dyDescent="0.35">
      <c r="A46" s="2">
        <v>45</v>
      </c>
      <c r="B46" s="3" t="s">
        <v>224</v>
      </c>
      <c r="C46" s="4">
        <v>42440</v>
      </c>
      <c r="D46" s="4">
        <v>42442</v>
      </c>
      <c r="E46" s="3" t="s">
        <v>187</v>
      </c>
      <c r="F46" s="3" t="s">
        <v>225</v>
      </c>
      <c r="G46" s="3" t="s">
        <v>226</v>
      </c>
      <c r="H46" s="3" t="s">
        <v>40</v>
      </c>
      <c r="I46" s="3" t="s">
        <v>26</v>
      </c>
      <c r="J46" s="3" t="s">
        <v>227</v>
      </c>
      <c r="K46" s="3" t="s">
        <v>228</v>
      </c>
      <c r="L46" s="2">
        <v>55122</v>
      </c>
      <c r="M46" s="3" t="s">
        <v>104</v>
      </c>
      <c r="N46" s="3" t="s">
        <v>229</v>
      </c>
      <c r="O46" s="3" t="s">
        <v>70</v>
      </c>
      <c r="P46" s="3" t="s">
        <v>160</v>
      </c>
      <c r="Q46" s="3" t="s">
        <v>230</v>
      </c>
      <c r="R46" s="2">
        <v>45.98</v>
      </c>
      <c r="S46" s="2">
        <v>2</v>
      </c>
      <c r="T46" s="2">
        <v>0</v>
      </c>
      <c r="U46" s="2">
        <v>19.7714</v>
      </c>
    </row>
    <row r="47" spans="1:21" ht="29.4" thickBot="1" x14ac:dyDescent="0.35">
      <c r="A47" s="5">
        <v>46</v>
      </c>
      <c r="B47" s="6" t="s">
        <v>224</v>
      </c>
      <c r="C47" s="7">
        <v>42440</v>
      </c>
      <c r="D47" s="7">
        <v>42442</v>
      </c>
      <c r="E47" s="6" t="s">
        <v>187</v>
      </c>
      <c r="F47" s="6" t="s">
        <v>225</v>
      </c>
      <c r="G47" s="6" t="s">
        <v>226</v>
      </c>
      <c r="H47" s="6" t="s">
        <v>40</v>
      </c>
      <c r="I47" s="6" t="s">
        <v>26</v>
      </c>
      <c r="J47" s="6" t="s">
        <v>227</v>
      </c>
      <c r="K47" s="6" t="s">
        <v>228</v>
      </c>
      <c r="L47" s="5">
        <v>55122</v>
      </c>
      <c r="M47" s="6" t="s">
        <v>104</v>
      </c>
      <c r="N47" s="6" t="s">
        <v>231</v>
      </c>
      <c r="O47" s="6" t="s">
        <v>45</v>
      </c>
      <c r="P47" s="6" t="s">
        <v>74</v>
      </c>
      <c r="Q47" s="6" t="s">
        <v>232</v>
      </c>
      <c r="R47" s="5">
        <v>17.46</v>
      </c>
      <c r="S47" s="5">
        <v>2</v>
      </c>
      <c r="T47" s="5">
        <v>0</v>
      </c>
      <c r="U47" s="5">
        <v>8.2062000000000008</v>
      </c>
    </row>
    <row r="48" spans="1:21" ht="29.4" thickBot="1" x14ac:dyDescent="0.35">
      <c r="A48" s="2">
        <v>47</v>
      </c>
      <c r="B48" s="3" t="s">
        <v>233</v>
      </c>
      <c r="C48" s="4">
        <v>41932</v>
      </c>
      <c r="D48" s="4">
        <v>41937</v>
      </c>
      <c r="E48" s="3" t="s">
        <v>22</v>
      </c>
      <c r="F48" s="3" t="s">
        <v>234</v>
      </c>
      <c r="G48" s="3" t="s">
        <v>235</v>
      </c>
      <c r="H48" s="3" t="s">
        <v>25</v>
      </c>
      <c r="I48" s="3" t="s">
        <v>26</v>
      </c>
      <c r="J48" s="3" t="s">
        <v>236</v>
      </c>
      <c r="K48" s="3" t="s">
        <v>237</v>
      </c>
      <c r="L48" s="2">
        <v>48185</v>
      </c>
      <c r="M48" s="3" t="s">
        <v>104</v>
      </c>
      <c r="N48" s="3" t="s">
        <v>238</v>
      </c>
      <c r="O48" s="3" t="s">
        <v>45</v>
      </c>
      <c r="P48" s="3" t="s">
        <v>58</v>
      </c>
      <c r="Q48" s="3" t="s">
        <v>239</v>
      </c>
      <c r="R48" s="2">
        <v>211.96</v>
      </c>
      <c r="S48" s="2">
        <v>4</v>
      </c>
      <c r="T48" s="2">
        <v>0</v>
      </c>
      <c r="U48" s="2">
        <v>8.4784000000000006</v>
      </c>
    </row>
    <row r="49" spans="1:21" ht="29.4" thickBot="1" x14ac:dyDescent="0.35">
      <c r="A49" s="5">
        <v>48</v>
      </c>
      <c r="B49" s="6" t="s">
        <v>240</v>
      </c>
      <c r="C49" s="7">
        <v>42541</v>
      </c>
      <c r="D49" s="7">
        <v>42546</v>
      </c>
      <c r="E49" s="6" t="s">
        <v>49</v>
      </c>
      <c r="F49" s="6" t="s">
        <v>241</v>
      </c>
      <c r="G49" s="6" t="s">
        <v>242</v>
      </c>
      <c r="H49" s="6" t="s">
        <v>25</v>
      </c>
      <c r="I49" s="6" t="s">
        <v>26</v>
      </c>
      <c r="J49" s="6" t="s">
        <v>243</v>
      </c>
      <c r="K49" s="6" t="s">
        <v>244</v>
      </c>
      <c r="L49" s="5">
        <v>19901</v>
      </c>
      <c r="M49" s="6" t="s">
        <v>147</v>
      </c>
      <c r="N49" s="6" t="s">
        <v>245</v>
      </c>
      <c r="O49" s="6" t="s">
        <v>70</v>
      </c>
      <c r="P49" s="6" t="s">
        <v>160</v>
      </c>
      <c r="Q49" s="6" t="s">
        <v>246</v>
      </c>
      <c r="R49" s="5">
        <v>45</v>
      </c>
      <c r="S49" s="5">
        <v>3</v>
      </c>
      <c r="T49" s="5">
        <v>0</v>
      </c>
      <c r="U49" s="5">
        <v>4.95</v>
      </c>
    </row>
    <row r="50" spans="1:21" ht="29.4" thickBot="1" x14ac:dyDescent="0.35">
      <c r="A50" s="2">
        <v>49</v>
      </c>
      <c r="B50" s="3" t="s">
        <v>240</v>
      </c>
      <c r="C50" s="4">
        <v>42541</v>
      </c>
      <c r="D50" s="4">
        <v>42546</v>
      </c>
      <c r="E50" s="3" t="s">
        <v>49</v>
      </c>
      <c r="F50" s="3" t="s">
        <v>241</v>
      </c>
      <c r="G50" s="3" t="s">
        <v>242</v>
      </c>
      <c r="H50" s="3" t="s">
        <v>25</v>
      </c>
      <c r="I50" s="3" t="s">
        <v>26</v>
      </c>
      <c r="J50" s="3" t="s">
        <v>243</v>
      </c>
      <c r="K50" s="3" t="s">
        <v>244</v>
      </c>
      <c r="L50" s="2">
        <v>19901</v>
      </c>
      <c r="M50" s="3" t="s">
        <v>147</v>
      </c>
      <c r="N50" s="3" t="s">
        <v>247</v>
      </c>
      <c r="O50" s="3" t="s">
        <v>70</v>
      </c>
      <c r="P50" s="3" t="s">
        <v>71</v>
      </c>
      <c r="Q50" s="3" t="s">
        <v>248</v>
      </c>
      <c r="R50" s="2">
        <v>21.8</v>
      </c>
      <c r="S50" s="2">
        <v>2</v>
      </c>
      <c r="T50" s="2">
        <v>0</v>
      </c>
      <c r="U50" s="2">
        <v>6.1040000000000001</v>
      </c>
    </row>
    <row r="51" spans="1:21" ht="29.4" thickBot="1" x14ac:dyDescent="0.35">
      <c r="A51" s="5">
        <v>50</v>
      </c>
      <c r="B51" s="6" t="s">
        <v>249</v>
      </c>
      <c r="C51" s="7">
        <v>42112</v>
      </c>
      <c r="D51" s="7">
        <v>42116</v>
      </c>
      <c r="E51" s="6" t="s">
        <v>49</v>
      </c>
      <c r="F51" s="6" t="s">
        <v>250</v>
      </c>
      <c r="G51" s="6" t="s">
        <v>251</v>
      </c>
      <c r="H51" s="6" t="s">
        <v>25</v>
      </c>
      <c r="I51" s="6" t="s">
        <v>26</v>
      </c>
      <c r="J51" s="6" t="s">
        <v>252</v>
      </c>
      <c r="K51" s="6" t="s">
        <v>253</v>
      </c>
      <c r="L51" s="5">
        <v>47150</v>
      </c>
      <c r="M51" s="6" t="s">
        <v>104</v>
      </c>
      <c r="N51" s="6" t="s">
        <v>254</v>
      </c>
      <c r="O51" s="6" t="s">
        <v>45</v>
      </c>
      <c r="P51" s="6" t="s">
        <v>74</v>
      </c>
      <c r="Q51" s="6" t="s">
        <v>255</v>
      </c>
      <c r="R51" s="5">
        <v>38.22</v>
      </c>
      <c r="S51" s="5">
        <v>6</v>
      </c>
      <c r="T51" s="5">
        <v>0</v>
      </c>
      <c r="U51" s="5">
        <v>17.9634</v>
      </c>
    </row>
    <row r="52" spans="1:21" ht="29.4" thickBot="1" x14ac:dyDescent="0.35">
      <c r="A52" s="2">
        <v>51</v>
      </c>
      <c r="B52" s="3" t="s">
        <v>249</v>
      </c>
      <c r="C52" s="4">
        <v>42112</v>
      </c>
      <c r="D52" s="4">
        <v>42116</v>
      </c>
      <c r="E52" s="3" t="s">
        <v>49</v>
      </c>
      <c r="F52" s="3" t="s">
        <v>250</v>
      </c>
      <c r="G52" s="3" t="s">
        <v>251</v>
      </c>
      <c r="H52" s="3" t="s">
        <v>25</v>
      </c>
      <c r="I52" s="3" t="s">
        <v>26</v>
      </c>
      <c r="J52" s="3" t="s">
        <v>252</v>
      </c>
      <c r="K52" s="3" t="s">
        <v>253</v>
      </c>
      <c r="L52" s="2">
        <v>47150</v>
      </c>
      <c r="M52" s="3" t="s">
        <v>104</v>
      </c>
      <c r="N52" s="3" t="s">
        <v>256</v>
      </c>
      <c r="O52" s="3" t="s">
        <v>45</v>
      </c>
      <c r="P52" s="3" t="s">
        <v>46</v>
      </c>
      <c r="Q52" s="3" t="s">
        <v>257</v>
      </c>
      <c r="R52" s="2">
        <v>75.180000000000007</v>
      </c>
      <c r="S52" s="2">
        <v>6</v>
      </c>
      <c r="T52" s="2">
        <v>0</v>
      </c>
      <c r="U52" s="2">
        <v>35.334600000000002</v>
      </c>
    </row>
    <row r="53" spans="1:21" ht="29.4" thickBot="1" x14ac:dyDescent="0.35">
      <c r="A53" s="5">
        <v>52</v>
      </c>
      <c r="B53" s="6" t="s">
        <v>249</v>
      </c>
      <c r="C53" s="7">
        <v>42112</v>
      </c>
      <c r="D53" s="7">
        <v>42116</v>
      </c>
      <c r="E53" s="6" t="s">
        <v>49</v>
      </c>
      <c r="F53" s="6" t="s">
        <v>250</v>
      </c>
      <c r="G53" s="6" t="s">
        <v>251</v>
      </c>
      <c r="H53" s="6" t="s">
        <v>25</v>
      </c>
      <c r="I53" s="6" t="s">
        <v>26</v>
      </c>
      <c r="J53" s="6" t="s">
        <v>252</v>
      </c>
      <c r="K53" s="6" t="s">
        <v>253</v>
      </c>
      <c r="L53" s="5">
        <v>47150</v>
      </c>
      <c r="M53" s="6" t="s">
        <v>104</v>
      </c>
      <c r="N53" s="6" t="s">
        <v>258</v>
      </c>
      <c r="O53" s="6" t="s">
        <v>31</v>
      </c>
      <c r="P53" s="6" t="s">
        <v>64</v>
      </c>
      <c r="Q53" s="6" t="s">
        <v>259</v>
      </c>
      <c r="R53" s="5">
        <v>6.16</v>
      </c>
      <c r="S53" s="5">
        <v>2</v>
      </c>
      <c r="T53" s="5">
        <v>0</v>
      </c>
      <c r="U53" s="5">
        <v>2.9567999999999999</v>
      </c>
    </row>
    <row r="54" spans="1:21" ht="29.4" thickBot="1" x14ac:dyDescent="0.35">
      <c r="A54" s="2">
        <v>53</v>
      </c>
      <c r="B54" s="3" t="s">
        <v>249</v>
      </c>
      <c r="C54" s="4">
        <v>42112</v>
      </c>
      <c r="D54" s="4">
        <v>42116</v>
      </c>
      <c r="E54" s="3" t="s">
        <v>49</v>
      </c>
      <c r="F54" s="3" t="s">
        <v>250</v>
      </c>
      <c r="G54" s="3" t="s">
        <v>251</v>
      </c>
      <c r="H54" s="3" t="s">
        <v>25</v>
      </c>
      <c r="I54" s="3" t="s">
        <v>26</v>
      </c>
      <c r="J54" s="3" t="s">
        <v>252</v>
      </c>
      <c r="K54" s="3" t="s">
        <v>253</v>
      </c>
      <c r="L54" s="2">
        <v>47150</v>
      </c>
      <c r="M54" s="3" t="s">
        <v>104</v>
      </c>
      <c r="N54" s="3" t="s">
        <v>260</v>
      </c>
      <c r="O54" s="3" t="s">
        <v>31</v>
      </c>
      <c r="P54" s="3" t="s">
        <v>35</v>
      </c>
      <c r="Q54" s="3" t="s">
        <v>261</v>
      </c>
      <c r="R54" s="2">
        <v>89.99</v>
      </c>
      <c r="S54" s="2">
        <v>1</v>
      </c>
      <c r="T54" s="2">
        <v>0</v>
      </c>
      <c r="U54" s="2">
        <v>17.098099999999999</v>
      </c>
    </row>
    <row r="55" spans="1:21" ht="29.4" thickBot="1" x14ac:dyDescent="0.35">
      <c r="A55" s="5">
        <v>54</v>
      </c>
      <c r="B55" s="6" t="s">
        <v>262</v>
      </c>
      <c r="C55" s="7">
        <v>42715</v>
      </c>
      <c r="D55" s="7">
        <v>42721</v>
      </c>
      <c r="E55" s="6" t="s">
        <v>49</v>
      </c>
      <c r="F55" s="6" t="s">
        <v>263</v>
      </c>
      <c r="G55" s="6" t="s">
        <v>264</v>
      </c>
      <c r="H55" s="6" t="s">
        <v>40</v>
      </c>
      <c r="I55" s="6" t="s">
        <v>26</v>
      </c>
      <c r="J55" s="6" t="s">
        <v>265</v>
      </c>
      <c r="K55" s="6" t="s">
        <v>266</v>
      </c>
      <c r="L55" s="5">
        <v>10024</v>
      </c>
      <c r="M55" s="6" t="s">
        <v>147</v>
      </c>
      <c r="N55" s="6" t="s">
        <v>267</v>
      </c>
      <c r="O55" s="6" t="s">
        <v>45</v>
      </c>
      <c r="P55" s="6" t="s">
        <v>268</v>
      </c>
      <c r="Q55" s="6" t="s">
        <v>269</v>
      </c>
      <c r="R55" s="5">
        <v>15.26</v>
      </c>
      <c r="S55" s="5">
        <v>7</v>
      </c>
      <c r="T55" s="5">
        <v>0</v>
      </c>
      <c r="U55" s="5">
        <v>6.2565999999999997</v>
      </c>
    </row>
    <row r="56" spans="1:21" ht="29.4" thickBot="1" x14ac:dyDescent="0.35">
      <c r="A56" s="2">
        <v>55</v>
      </c>
      <c r="B56" s="3" t="s">
        <v>262</v>
      </c>
      <c r="C56" s="4">
        <v>42715</v>
      </c>
      <c r="D56" s="4">
        <v>42721</v>
      </c>
      <c r="E56" s="3" t="s">
        <v>49</v>
      </c>
      <c r="F56" s="3" t="s">
        <v>263</v>
      </c>
      <c r="G56" s="3" t="s">
        <v>264</v>
      </c>
      <c r="H56" s="3" t="s">
        <v>40</v>
      </c>
      <c r="I56" s="3" t="s">
        <v>26</v>
      </c>
      <c r="J56" s="3" t="s">
        <v>265</v>
      </c>
      <c r="K56" s="3" t="s">
        <v>266</v>
      </c>
      <c r="L56" s="2">
        <v>10024</v>
      </c>
      <c r="M56" s="3" t="s">
        <v>147</v>
      </c>
      <c r="N56" s="3" t="s">
        <v>270</v>
      </c>
      <c r="O56" s="3" t="s">
        <v>70</v>
      </c>
      <c r="P56" s="3" t="s">
        <v>71</v>
      </c>
      <c r="Q56" s="3" t="s">
        <v>271</v>
      </c>
      <c r="R56" s="2">
        <v>1029.95</v>
      </c>
      <c r="S56" s="2">
        <v>5</v>
      </c>
      <c r="T56" s="2">
        <v>0</v>
      </c>
      <c r="U56" s="2">
        <v>298.68549999999999</v>
      </c>
    </row>
    <row r="57" spans="1:21" ht="29.4" thickBot="1" x14ac:dyDescent="0.35">
      <c r="A57" s="5">
        <v>56</v>
      </c>
      <c r="B57" s="6" t="s">
        <v>272</v>
      </c>
      <c r="C57" s="7">
        <v>42538</v>
      </c>
      <c r="D57" s="7">
        <v>42539</v>
      </c>
      <c r="E57" s="6" t="s">
        <v>187</v>
      </c>
      <c r="F57" s="6" t="s">
        <v>273</v>
      </c>
      <c r="G57" s="6" t="s">
        <v>274</v>
      </c>
      <c r="H57" s="6" t="s">
        <v>25</v>
      </c>
      <c r="I57" s="6" t="s">
        <v>26</v>
      </c>
      <c r="J57" s="6" t="s">
        <v>275</v>
      </c>
      <c r="K57" s="6" t="s">
        <v>266</v>
      </c>
      <c r="L57" s="5">
        <v>12180</v>
      </c>
      <c r="M57" s="6" t="s">
        <v>147</v>
      </c>
      <c r="N57" s="6" t="s">
        <v>276</v>
      </c>
      <c r="O57" s="6" t="s">
        <v>45</v>
      </c>
      <c r="P57" s="6" t="s">
        <v>58</v>
      </c>
      <c r="Q57" s="6" t="s">
        <v>277</v>
      </c>
      <c r="R57" s="5">
        <v>208.56</v>
      </c>
      <c r="S57" s="5">
        <v>6</v>
      </c>
      <c r="T57" s="5">
        <v>0</v>
      </c>
      <c r="U57" s="5">
        <v>52.14</v>
      </c>
    </row>
    <row r="58" spans="1:21" ht="29.4" thickBot="1" x14ac:dyDescent="0.35">
      <c r="A58" s="2">
        <v>57</v>
      </c>
      <c r="B58" s="3" t="s">
        <v>272</v>
      </c>
      <c r="C58" s="4">
        <v>42538</v>
      </c>
      <c r="D58" s="4">
        <v>42539</v>
      </c>
      <c r="E58" s="3" t="s">
        <v>187</v>
      </c>
      <c r="F58" s="3" t="s">
        <v>273</v>
      </c>
      <c r="G58" s="3" t="s">
        <v>274</v>
      </c>
      <c r="H58" s="3" t="s">
        <v>25</v>
      </c>
      <c r="I58" s="3" t="s">
        <v>26</v>
      </c>
      <c r="J58" s="3" t="s">
        <v>275</v>
      </c>
      <c r="K58" s="3" t="s">
        <v>266</v>
      </c>
      <c r="L58" s="2">
        <v>12180</v>
      </c>
      <c r="M58" s="3" t="s">
        <v>147</v>
      </c>
      <c r="N58" s="3" t="s">
        <v>278</v>
      </c>
      <c r="O58" s="3" t="s">
        <v>45</v>
      </c>
      <c r="P58" s="3" t="s">
        <v>89</v>
      </c>
      <c r="Q58" s="3" t="s">
        <v>279</v>
      </c>
      <c r="R58" s="2">
        <v>32.4</v>
      </c>
      <c r="S58" s="2">
        <v>5</v>
      </c>
      <c r="T58" s="2">
        <v>0</v>
      </c>
      <c r="U58" s="2">
        <v>15.552</v>
      </c>
    </row>
    <row r="59" spans="1:21" ht="29.4" thickBot="1" x14ac:dyDescent="0.35">
      <c r="A59" s="5">
        <v>58</v>
      </c>
      <c r="B59" s="6" t="s">
        <v>272</v>
      </c>
      <c r="C59" s="7">
        <v>42538</v>
      </c>
      <c r="D59" s="7">
        <v>42539</v>
      </c>
      <c r="E59" s="6" t="s">
        <v>187</v>
      </c>
      <c r="F59" s="6" t="s">
        <v>273</v>
      </c>
      <c r="G59" s="6" t="s">
        <v>274</v>
      </c>
      <c r="H59" s="6" t="s">
        <v>25</v>
      </c>
      <c r="I59" s="6" t="s">
        <v>26</v>
      </c>
      <c r="J59" s="6" t="s">
        <v>275</v>
      </c>
      <c r="K59" s="6" t="s">
        <v>266</v>
      </c>
      <c r="L59" s="5">
        <v>12180</v>
      </c>
      <c r="M59" s="6" t="s">
        <v>147</v>
      </c>
      <c r="N59" s="6" t="s">
        <v>280</v>
      </c>
      <c r="O59" s="6" t="s">
        <v>31</v>
      </c>
      <c r="P59" s="6" t="s">
        <v>35</v>
      </c>
      <c r="Q59" s="6" t="s">
        <v>281</v>
      </c>
      <c r="R59" s="5">
        <v>319.41000000000003</v>
      </c>
      <c r="S59" s="5">
        <v>5</v>
      </c>
      <c r="T59" s="5">
        <v>0.1</v>
      </c>
      <c r="U59" s="5">
        <v>7.0979999999999999</v>
      </c>
    </row>
    <row r="60" spans="1:21" ht="29.4" thickBot="1" x14ac:dyDescent="0.35">
      <c r="A60" s="2">
        <v>59</v>
      </c>
      <c r="B60" s="3" t="s">
        <v>272</v>
      </c>
      <c r="C60" s="4">
        <v>42538</v>
      </c>
      <c r="D60" s="4">
        <v>42539</v>
      </c>
      <c r="E60" s="3" t="s">
        <v>187</v>
      </c>
      <c r="F60" s="3" t="s">
        <v>273</v>
      </c>
      <c r="G60" s="3" t="s">
        <v>274</v>
      </c>
      <c r="H60" s="3" t="s">
        <v>25</v>
      </c>
      <c r="I60" s="3" t="s">
        <v>26</v>
      </c>
      <c r="J60" s="3" t="s">
        <v>275</v>
      </c>
      <c r="K60" s="3" t="s">
        <v>266</v>
      </c>
      <c r="L60" s="2">
        <v>12180</v>
      </c>
      <c r="M60" s="3" t="s">
        <v>147</v>
      </c>
      <c r="N60" s="3" t="s">
        <v>282</v>
      </c>
      <c r="O60" s="3" t="s">
        <v>45</v>
      </c>
      <c r="P60" s="3" t="s">
        <v>89</v>
      </c>
      <c r="Q60" s="3" t="s">
        <v>283</v>
      </c>
      <c r="R60" s="2">
        <v>14.56</v>
      </c>
      <c r="S60" s="2">
        <v>2</v>
      </c>
      <c r="T60" s="2">
        <v>0</v>
      </c>
      <c r="U60" s="2">
        <v>6.9888000000000003</v>
      </c>
    </row>
    <row r="61" spans="1:21" ht="29.4" thickBot="1" x14ac:dyDescent="0.35">
      <c r="A61" s="5">
        <v>60</v>
      </c>
      <c r="B61" s="6" t="s">
        <v>272</v>
      </c>
      <c r="C61" s="7">
        <v>42538</v>
      </c>
      <c r="D61" s="7">
        <v>42539</v>
      </c>
      <c r="E61" s="6" t="s">
        <v>187</v>
      </c>
      <c r="F61" s="6" t="s">
        <v>273</v>
      </c>
      <c r="G61" s="6" t="s">
        <v>274</v>
      </c>
      <c r="H61" s="6" t="s">
        <v>25</v>
      </c>
      <c r="I61" s="6" t="s">
        <v>26</v>
      </c>
      <c r="J61" s="6" t="s">
        <v>275</v>
      </c>
      <c r="K61" s="6" t="s">
        <v>266</v>
      </c>
      <c r="L61" s="5">
        <v>12180</v>
      </c>
      <c r="M61" s="6" t="s">
        <v>147</v>
      </c>
      <c r="N61" s="6" t="s">
        <v>245</v>
      </c>
      <c r="O61" s="6" t="s">
        <v>70</v>
      </c>
      <c r="P61" s="6" t="s">
        <v>160</v>
      </c>
      <c r="Q61" s="6" t="s">
        <v>246</v>
      </c>
      <c r="R61" s="5">
        <v>30</v>
      </c>
      <c r="S61" s="5">
        <v>2</v>
      </c>
      <c r="T61" s="5">
        <v>0</v>
      </c>
      <c r="U61" s="5">
        <v>3.3</v>
      </c>
    </row>
    <row r="62" spans="1:21" ht="29.4" thickBot="1" x14ac:dyDescent="0.35">
      <c r="A62" s="2">
        <v>61</v>
      </c>
      <c r="B62" s="3" t="s">
        <v>272</v>
      </c>
      <c r="C62" s="4">
        <v>42538</v>
      </c>
      <c r="D62" s="4">
        <v>42539</v>
      </c>
      <c r="E62" s="3" t="s">
        <v>187</v>
      </c>
      <c r="F62" s="3" t="s">
        <v>273</v>
      </c>
      <c r="G62" s="3" t="s">
        <v>274</v>
      </c>
      <c r="H62" s="3" t="s">
        <v>25</v>
      </c>
      <c r="I62" s="3" t="s">
        <v>26</v>
      </c>
      <c r="J62" s="3" t="s">
        <v>275</v>
      </c>
      <c r="K62" s="3" t="s">
        <v>266</v>
      </c>
      <c r="L62" s="2">
        <v>12180</v>
      </c>
      <c r="M62" s="3" t="s">
        <v>147</v>
      </c>
      <c r="N62" s="3" t="s">
        <v>284</v>
      </c>
      <c r="O62" s="3" t="s">
        <v>45</v>
      </c>
      <c r="P62" s="3" t="s">
        <v>74</v>
      </c>
      <c r="Q62" s="3" t="s">
        <v>285</v>
      </c>
      <c r="R62" s="2">
        <v>48.48</v>
      </c>
      <c r="S62" s="2">
        <v>4</v>
      </c>
      <c r="T62" s="2">
        <v>0.2</v>
      </c>
      <c r="U62" s="2">
        <v>16.361999999999998</v>
      </c>
    </row>
    <row r="63" spans="1:21" ht="29.4" thickBot="1" x14ac:dyDescent="0.35">
      <c r="A63" s="5">
        <v>62</v>
      </c>
      <c r="B63" s="6" t="s">
        <v>272</v>
      </c>
      <c r="C63" s="7">
        <v>42538</v>
      </c>
      <c r="D63" s="7">
        <v>42539</v>
      </c>
      <c r="E63" s="6" t="s">
        <v>187</v>
      </c>
      <c r="F63" s="6" t="s">
        <v>273</v>
      </c>
      <c r="G63" s="6" t="s">
        <v>274</v>
      </c>
      <c r="H63" s="6" t="s">
        <v>25</v>
      </c>
      <c r="I63" s="6" t="s">
        <v>26</v>
      </c>
      <c r="J63" s="6" t="s">
        <v>275</v>
      </c>
      <c r="K63" s="6" t="s">
        <v>266</v>
      </c>
      <c r="L63" s="5">
        <v>12180</v>
      </c>
      <c r="M63" s="6" t="s">
        <v>147</v>
      </c>
      <c r="N63" s="6" t="s">
        <v>286</v>
      </c>
      <c r="O63" s="6" t="s">
        <v>45</v>
      </c>
      <c r="P63" s="6" t="s">
        <v>67</v>
      </c>
      <c r="Q63" s="6" t="s">
        <v>287</v>
      </c>
      <c r="R63" s="5">
        <v>1.68</v>
      </c>
      <c r="S63" s="5">
        <v>1</v>
      </c>
      <c r="T63" s="5">
        <v>0</v>
      </c>
      <c r="U63" s="5">
        <v>0.84</v>
      </c>
    </row>
    <row r="64" spans="1:21" ht="29.4" thickBot="1" x14ac:dyDescent="0.35">
      <c r="A64" s="2">
        <v>63</v>
      </c>
      <c r="B64" s="3" t="s">
        <v>288</v>
      </c>
      <c r="C64" s="4">
        <v>42332</v>
      </c>
      <c r="D64" s="4">
        <v>42338</v>
      </c>
      <c r="E64" s="3" t="s">
        <v>49</v>
      </c>
      <c r="F64" s="3" t="s">
        <v>289</v>
      </c>
      <c r="G64" s="3" t="s">
        <v>290</v>
      </c>
      <c r="H64" s="3" t="s">
        <v>25</v>
      </c>
      <c r="I64" s="3" t="s">
        <v>26</v>
      </c>
      <c r="J64" s="3" t="s">
        <v>41</v>
      </c>
      <c r="K64" s="3" t="s">
        <v>42</v>
      </c>
      <c r="L64" s="2">
        <v>90004</v>
      </c>
      <c r="M64" s="3" t="s">
        <v>43</v>
      </c>
      <c r="N64" s="3" t="s">
        <v>291</v>
      </c>
      <c r="O64" s="3" t="s">
        <v>70</v>
      </c>
      <c r="P64" s="3" t="s">
        <v>160</v>
      </c>
      <c r="Q64" s="3" t="s">
        <v>292</v>
      </c>
      <c r="R64" s="2">
        <v>13.98</v>
      </c>
      <c r="S64" s="2">
        <v>2</v>
      </c>
      <c r="T64" s="2">
        <v>0</v>
      </c>
      <c r="U64" s="2">
        <v>6.1512000000000002</v>
      </c>
    </row>
    <row r="65" spans="1:21" ht="29.4" thickBot="1" x14ac:dyDescent="0.35">
      <c r="A65" s="5">
        <v>64</v>
      </c>
      <c r="B65" s="6" t="s">
        <v>288</v>
      </c>
      <c r="C65" s="7">
        <v>42332</v>
      </c>
      <c r="D65" s="7">
        <v>42338</v>
      </c>
      <c r="E65" s="6" t="s">
        <v>49</v>
      </c>
      <c r="F65" s="6" t="s">
        <v>289</v>
      </c>
      <c r="G65" s="6" t="s">
        <v>290</v>
      </c>
      <c r="H65" s="6" t="s">
        <v>25</v>
      </c>
      <c r="I65" s="6" t="s">
        <v>26</v>
      </c>
      <c r="J65" s="6" t="s">
        <v>41</v>
      </c>
      <c r="K65" s="6" t="s">
        <v>42</v>
      </c>
      <c r="L65" s="5">
        <v>90004</v>
      </c>
      <c r="M65" s="6" t="s">
        <v>43</v>
      </c>
      <c r="N65" s="6" t="s">
        <v>293</v>
      </c>
      <c r="O65" s="6" t="s">
        <v>45</v>
      </c>
      <c r="P65" s="6" t="s">
        <v>74</v>
      </c>
      <c r="Q65" s="6" t="s">
        <v>294</v>
      </c>
      <c r="R65" s="5">
        <v>25.824000000000002</v>
      </c>
      <c r="S65" s="5">
        <v>6</v>
      </c>
      <c r="T65" s="5">
        <v>0.2</v>
      </c>
      <c r="U65" s="5">
        <v>9.3612000000000002</v>
      </c>
    </row>
    <row r="66" spans="1:21" ht="29.4" thickBot="1" x14ac:dyDescent="0.35">
      <c r="A66" s="2">
        <v>65</v>
      </c>
      <c r="B66" s="3" t="s">
        <v>288</v>
      </c>
      <c r="C66" s="4">
        <v>42332</v>
      </c>
      <c r="D66" s="4">
        <v>42338</v>
      </c>
      <c r="E66" s="3" t="s">
        <v>49</v>
      </c>
      <c r="F66" s="3" t="s">
        <v>289</v>
      </c>
      <c r="G66" s="3" t="s">
        <v>290</v>
      </c>
      <c r="H66" s="3" t="s">
        <v>25</v>
      </c>
      <c r="I66" s="3" t="s">
        <v>26</v>
      </c>
      <c r="J66" s="3" t="s">
        <v>41</v>
      </c>
      <c r="K66" s="3" t="s">
        <v>42</v>
      </c>
      <c r="L66" s="2">
        <v>90004</v>
      </c>
      <c r="M66" s="3" t="s">
        <v>43</v>
      </c>
      <c r="N66" s="3" t="s">
        <v>295</v>
      </c>
      <c r="O66" s="3" t="s">
        <v>45</v>
      </c>
      <c r="P66" s="3" t="s">
        <v>89</v>
      </c>
      <c r="Q66" s="3" t="s">
        <v>296</v>
      </c>
      <c r="R66" s="2">
        <v>146.72999999999999</v>
      </c>
      <c r="S66" s="2">
        <v>3</v>
      </c>
      <c r="T66" s="2">
        <v>0</v>
      </c>
      <c r="U66" s="2">
        <v>68.963099999999997</v>
      </c>
    </row>
    <row r="67" spans="1:21" ht="29.4" thickBot="1" x14ac:dyDescent="0.35">
      <c r="A67" s="5">
        <v>66</v>
      </c>
      <c r="B67" s="6" t="s">
        <v>288</v>
      </c>
      <c r="C67" s="7">
        <v>42332</v>
      </c>
      <c r="D67" s="7">
        <v>42338</v>
      </c>
      <c r="E67" s="6" t="s">
        <v>49</v>
      </c>
      <c r="F67" s="6" t="s">
        <v>289</v>
      </c>
      <c r="G67" s="6" t="s">
        <v>290</v>
      </c>
      <c r="H67" s="6" t="s">
        <v>25</v>
      </c>
      <c r="I67" s="6" t="s">
        <v>26</v>
      </c>
      <c r="J67" s="6" t="s">
        <v>41</v>
      </c>
      <c r="K67" s="6" t="s">
        <v>42</v>
      </c>
      <c r="L67" s="5">
        <v>90004</v>
      </c>
      <c r="M67" s="6" t="s">
        <v>43</v>
      </c>
      <c r="N67" s="6" t="s">
        <v>297</v>
      </c>
      <c r="O67" s="6" t="s">
        <v>31</v>
      </c>
      <c r="P67" s="6" t="s">
        <v>64</v>
      </c>
      <c r="Q67" s="6" t="s">
        <v>298</v>
      </c>
      <c r="R67" s="5">
        <v>79.760000000000005</v>
      </c>
      <c r="S67" s="5">
        <v>4</v>
      </c>
      <c r="T67" s="5">
        <v>0</v>
      </c>
      <c r="U67" s="5">
        <v>22.332799999999999</v>
      </c>
    </row>
    <row r="68" spans="1:21" ht="29.4" thickBot="1" x14ac:dyDescent="0.35">
      <c r="A68" s="2">
        <v>67</v>
      </c>
      <c r="B68" s="3" t="s">
        <v>299</v>
      </c>
      <c r="C68" s="4">
        <v>42124</v>
      </c>
      <c r="D68" s="4">
        <v>42129</v>
      </c>
      <c r="E68" s="3" t="s">
        <v>49</v>
      </c>
      <c r="F68" s="3" t="s">
        <v>300</v>
      </c>
      <c r="G68" s="3" t="s">
        <v>301</v>
      </c>
      <c r="H68" s="3" t="s">
        <v>101</v>
      </c>
      <c r="I68" s="3" t="s">
        <v>26</v>
      </c>
      <c r="J68" s="3" t="s">
        <v>302</v>
      </c>
      <c r="K68" s="3" t="s">
        <v>210</v>
      </c>
      <c r="L68" s="2">
        <v>60610</v>
      </c>
      <c r="M68" s="3" t="s">
        <v>104</v>
      </c>
      <c r="N68" s="3" t="s">
        <v>303</v>
      </c>
      <c r="O68" s="3" t="s">
        <v>31</v>
      </c>
      <c r="P68" s="3" t="s">
        <v>35</v>
      </c>
      <c r="Q68" s="3" t="s">
        <v>304</v>
      </c>
      <c r="R68" s="2">
        <v>213.11500000000001</v>
      </c>
      <c r="S68" s="2">
        <v>5</v>
      </c>
      <c r="T68" s="2">
        <v>0.3</v>
      </c>
      <c r="U68" s="2">
        <v>-15.2225</v>
      </c>
    </row>
    <row r="69" spans="1:21" ht="29.4" thickBot="1" x14ac:dyDescent="0.35">
      <c r="A69" s="5">
        <v>68</v>
      </c>
      <c r="B69" s="6" t="s">
        <v>305</v>
      </c>
      <c r="C69" s="7">
        <v>41978</v>
      </c>
      <c r="D69" s="7">
        <v>41983</v>
      </c>
      <c r="E69" s="6" t="s">
        <v>49</v>
      </c>
      <c r="F69" s="6" t="s">
        <v>306</v>
      </c>
      <c r="G69" s="6" t="s">
        <v>307</v>
      </c>
      <c r="H69" s="6" t="s">
        <v>40</v>
      </c>
      <c r="I69" s="6" t="s">
        <v>26</v>
      </c>
      <c r="J69" s="6" t="s">
        <v>308</v>
      </c>
      <c r="K69" s="6" t="s">
        <v>309</v>
      </c>
      <c r="L69" s="5">
        <v>85234</v>
      </c>
      <c r="M69" s="6" t="s">
        <v>43</v>
      </c>
      <c r="N69" s="6" t="s">
        <v>310</v>
      </c>
      <c r="O69" s="6" t="s">
        <v>45</v>
      </c>
      <c r="P69" s="6" t="s">
        <v>67</v>
      </c>
      <c r="Q69" s="6" t="s">
        <v>311</v>
      </c>
      <c r="R69" s="5">
        <v>1113.0239999999999</v>
      </c>
      <c r="S69" s="5">
        <v>8</v>
      </c>
      <c r="T69" s="5">
        <v>0.2</v>
      </c>
      <c r="U69" s="5">
        <v>111.30240000000001</v>
      </c>
    </row>
    <row r="70" spans="1:21" ht="29.4" thickBot="1" x14ac:dyDescent="0.35">
      <c r="A70" s="2">
        <v>69</v>
      </c>
      <c r="B70" s="3" t="s">
        <v>305</v>
      </c>
      <c r="C70" s="4">
        <v>41978</v>
      </c>
      <c r="D70" s="4">
        <v>41983</v>
      </c>
      <c r="E70" s="3" t="s">
        <v>49</v>
      </c>
      <c r="F70" s="3" t="s">
        <v>306</v>
      </c>
      <c r="G70" s="3" t="s">
        <v>307</v>
      </c>
      <c r="H70" s="3" t="s">
        <v>40</v>
      </c>
      <c r="I70" s="3" t="s">
        <v>26</v>
      </c>
      <c r="J70" s="3" t="s">
        <v>308</v>
      </c>
      <c r="K70" s="3" t="s">
        <v>309</v>
      </c>
      <c r="L70" s="2">
        <v>85234</v>
      </c>
      <c r="M70" s="3" t="s">
        <v>43</v>
      </c>
      <c r="N70" s="3" t="s">
        <v>312</v>
      </c>
      <c r="O70" s="3" t="s">
        <v>70</v>
      </c>
      <c r="P70" s="3" t="s">
        <v>71</v>
      </c>
      <c r="Q70" s="3" t="s">
        <v>313</v>
      </c>
      <c r="R70" s="2">
        <v>167.96799999999999</v>
      </c>
      <c r="S70" s="2">
        <v>4</v>
      </c>
      <c r="T70" s="2">
        <v>0.2</v>
      </c>
      <c r="U70" s="2">
        <v>62.988</v>
      </c>
    </row>
    <row r="71" spans="1:21" ht="29.4" thickBot="1" x14ac:dyDescent="0.35">
      <c r="A71" s="5">
        <v>70</v>
      </c>
      <c r="B71" s="6" t="s">
        <v>314</v>
      </c>
      <c r="C71" s="7">
        <v>42525</v>
      </c>
      <c r="D71" s="7">
        <v>42527</v>
      </c>
      <c r="E71" s="6" t="s">
        <v>187</v>
      </c>
      <c r="F71" s="6" t="s">
        <v>315</v>
      </c>
      <c r="G71" s="6" t="s">
        <v>316</v>
      </c>
      <c r="H71" s="6" t="s">
        <v>25</v>
      </c>
      <c r="I71" s="6" t="s">
        <v>26</v>
      </c>
      <c r="J71" s="6" t="s">
        <v>317</v>
      </c>
      <c r="K71" s="6" t="s">
        <v>318</v>
      </c>
      <c r="L71" s="5">
        <v>22153</v>
      </c>
      <c r="M71" s="6" t="s">
        <v>29</v>
      </c>
      <c r="N71" s="6" t="s">
        <v>319</v>
      </c>
      <c r="O71" s="6" t="s">
        <v>45</v>
      </c>
      <c r="P71" s="6" t="s">
        <v>89</v>
      </c>
      <c r="Q71" s="6" t="s">
        <v>320</v>
      </c>
      <c r="R71" s="5">
        <v>75.88</v>
      </c>
      <c r="S71" s="5">
        <v>2</v>
      </c>
      <c r="T71" s="5">
        <v>0</v>
      </c>
      <c r="U71" s="5">
        <v>35.663600000000002</v>
      </c>
    </row>
    <row r="72" spans="1:21" ht="29.4" thickBot="1" x14ac:dyDescent="0.35">
      <c r="A72" s="2">
        <v>71</v>
      </c>
      <c r="B72" s="3" t="s">
        <v>321</v>
      </c>
      <c r="C72" s="4">
        <v>42631</v>
      </c>
      <c r="D72" s="4">
        <v>42636</v>
      </c>
      <c r="E72" s="3" t="s">
        <v>49</v>
      </c>
      <c r="F72" s="3" t="s">
        <v>322</v>
      </c>
      <c r="G72" s="3" t="s">
        <v>323</v>
      </c>
      <c r="H72" s="3" t="s">
        <v>25</v>
      </c>
      <c r="I72" s="3" t="s">
        <v>26</v>
      </c>
      <c r="J72" s="3" t="s">
        <v>265</v>
      </c>
      <c r="K72" s="3" t="s">
        <v>266</v>
      </c>
      <c r="L72" s="2">
        <v>10009</v>
      </c>
      <c r="M72" s="3" t="s">
        <v>147</v>
      </c>
      <c r="N72" s="3" t="s">
        <v>324</v>
      </c>
      <c r="O72" s="3" t="s">
        <v>45</v>
      </c>
      <c r="P72" s="3" t="s">
        <v>74</v>
      </c>
      <c r="Q72" s="3" t="s">
        <v>325</v>
      </c>
      <c r="R72" s="2">
        <v>4.6159999999999997</v>
      </c>
      <c r="S72" s="2">
        <v>1</v>
      </c>
      <c r="T72" s="2">
        <v>0.2</v>
      </c>
      <c r="U72" s="2">
        <v>1.7310000000000001</v>
      </c>
    </row>
    <row r="73" spans="1:21" ht="29.4" thickBot="1" x14ac:dyDescent="0.35">
      <c r="A73" s="5">
        <v>72</v>
      </c>
      <c r="B73" s="6" t="s">
        <v>326</v>
      </c>
      <c r="C73" s="7">
        <v>42992</v>
      </c>
      <c r="D73" s="7">
        <v>42995</v>
      </c>
      <c r="E73" s="6" t="s">
        <v>22</v>
      </c>
      <c r="F73" s="6" t="s">
        <v>163</v>
      </c>
      <c r="G73" s="6" t="s">
        <v>164</v>
      </c>
      <c r="H73" s="6" t="s">
        <v>25</v>
      </c>
      <c r="I73" s="6" t="s">
        <v>26</v>
      </c>
      <c r="J73" s="6" t="s">
        <v>327</v>
      </c>
      <c r="K73" s="6" t="s">
        <v>237</v>
      </c>
      <c r="L73" s="5">
        <v>49201</v>
      </c>
      <c r="M73" s="6" t="s">
        <v>104</v>
      </c>
      <c r="N73" s="6" t="s">
        <v>328</v>
      </c>
      <c r="O73" s="6" t="s">
        <v>45</v>
      </c>
      <c r="P73" s="6" t="s">
        <v>89</v>
      </c>
      <c r="Q73" s="6" t="s">
        <v>329</v>
      </c>
      <c r="R73" s="5">
        <v>19.05</v>
      </c>
      <c r="S73" s="5">
        <v>3</v>
      </c>
      <c r="T73" s="5">
        <v>0</v>
      </c>
      <c r="U73" s="5">
        <v>8.7629999999999999</v>
      </c>
    </row>
    <row r="74" spans="1:21" ht="29.4" thickBot="1" x14ac:dyDescent="0.35">
      <c r="A74" s="2">
        <v>73</v>
      </c>
      <c r="B74" s="3" t="s">
        <v>330</v>
      </c>
      <c r="C74" s="4">
        <v>42120</v>
      </c>
      <c r="D74" s="4">
        <v>42126</v>
      </c>
      <c r="E74" s="3" t="s">
        <v>49</v>
      </c>
      <c r="F74" s="3" t="s">
        <v>331</v>
      </c>
      <c r="G74" s="3" t="s">
        <v>332</v>
      </c>
      <c r="H74" s="3" t="s">
        <v>25</v>
      </c>
      <c r="I74" s="3" t="s">
        <v>26</v>
      </c>
      <c r="J74" s="3" t="s">
        <v>333</v>
      </c>
      <c r="K74" s="3" t="s">
        <v>334</v>
      </c>
      <c r="L74" s="2">
        <v>38109</v>
      </c>
      <c r="M74" s="3" t="s">
        <v>29</v>
      </c>
      <c r="N74" s="3" t="s">
        <v>335</v>
      </c>
      <c r="O74" s="3" t="s">
        <v>31</v>
      </c>
      <c r="P74" s="3" t="s">
        <v>35</v>
      </c>
      <c r="Q74" s="3" t="s">
        <v>336</v>
      </c>
      <c r="R74" s="2">
        <v>831.93600000000004</v>
      </c>
      <c r="S74" s="2">
        <v>8</v>
      </c>
      <c r="T74" s="2">
        <v>0.2</v>
      </c>
      <c r="U74" s="2">
        <v>-114.3912</v>
      </c>
    </row>
    <row r="75" spans="1:21" ht="29.4" thickBot="1" x14ac:dyDescent="0.35">
      <c r="A75" s="5">
        <v>74</v>
      </c>
      <c r="B75" s="6" t="s">
        <v>330</v>
      </c>
      <c r="C75" s="7">
        <v>42120</v>
      </c>
      <c r="D75" s="7">
        <v>42126</v>
      </c>
      <c r="E75" s="6" t="s">
        <v>49</v>
      </c>
      <c r="F75" s="6" t="s">
        <v>331</v>
      </c>
      <c r="G75" s="6" t="s">
        <v>332</v>
      </c>
      <c r="H75" s="6" t="s">
        <v>25</v>
      </c>
      <c r="I75" s="6" t="s">
        <v>26</v>
      </c>
      <c r="J75" s="6" t="s">
        <v>333</v>
      </c>
      <c r="K75" s="6" t="s">
        <v>334</v>
      </c>
      <c r="L75" s="5">
        <v>38109</v>
      </c>
      <c r="M75" s="6" t="s">
        <v>29</v>
      </c>
      <c r="N75" s="6" t="s">
        <v>337</v>
      </c>
      <c r="O75" s="6" t="s">
        <v>31</v>
      </c>
      <c r="P75" s="6" t="s">
        <v>64</v>
      </c>
      <c r="Q75" s="6" t="s">
        <v>338</v>
      </c>
      <c r="R75" s="5">
        <v>97.04</v>
      </c>
      <c r="S75" s="5">
        <v>2</v>
      </c>
      <c r="T75" s="5">
        <v>0.2</v>
      </c>
      <c r="U75" s="5">
        <v>1.2130000000000001</v>
      </c>
    </row>
    <row r="76" spans="1:21" ht="29.4" thickBot="1" x14ac:dyDescent="0.35">
      <c r="A76" s="2">
        <v>75</v>
      </c>
      <c r="B76" s="3" t="s">
        <v>330</v>
      </c>
      <c r="C76" s="4">
        <v>42120</v>
      </c>
      <c r="D76" s="4">
        <v>42126</v>
      </c>
      <c r="E76" s="3" t="s">
        <v>49</v>
      </c>
      <c r="F76" s="3" t="s">
        <v>331</v>
      </c>
      <c r="G76" s="3" t="s">
        <v>332</v>
      </c>
      <c r="H76" s="3" t="s">
        <v>25</v>
      </c>
      <c r="I76" s="3" t="s">
        <v>26</v>
      </c>
      <c r="J76" s="3" t="s">
        <v>333</v>
      </c>
      <c r="K76" s="3" t="s">
        <v>334</v>
      </c>
      <c r="L76" s="2">
        <v>38109</v>
      </c>
      <c r="M76" s="3" t="s">
        <v>29</v>
      </c>
      <c r="N76" s="3" t="s">
        <v>339</v>
      </c>
      <c r="O76" s="3" t="s">
        <v>45</v>
      </c>
      <c r="P76" s="3" t="s">
        <v>58</v>
      </c>
      <c r="Q76" s="3" t="s">
        <v>340</v>
      </c>
      <c r="R76" s="2">
        <v>72.784000000000006</v>
      </c>
      <c r="S76" s="2">
        <v>1</v>
      </c>
      <c r="T76" s="2">
        <v>0.2</v>
      </c>
      <c r="U76" s="2">
        <v>-18.196000000000002</v>
      </c>
    </row>
    <row r="77" spans="1:21" ht="29.4" thickBot="1" x14ac:dyDescent="0.35">
      <c r="A77" s="5">
        <v>76</v>
      </c>
      <c r="B77" s="6" t="s">
        <v>341</v>
      </c>
      <c r="C77" s="7">
        <v>43078</v>
      </c>
      <c r="D77" s="7">
        <v>43080</v>
      </c>
      <c r="E77" s="6" t="s">
        <v>187</v>
      </c>
      <c r="F77" s="6" t="s">
        <v>342</v>
      </c>
      <c r="G77" s="6" t="s">
        <v>343</v>
      </c>
      <c r="H77" s="6" t="s">
        <v>40</v>
      </c>
      <c r="I77" s="6" t="s">
        <v>26</v>
      </c>
      <c r="J77" s="6" t="s">
        <v>183</v>
      </c>
      <c r="K77" s="6" t="s">
        <v>103</v>
      </c>
      <c r="L77" s="5">
        <v>77041</v>
      </c>
      <c r="M77" s="6" t="s">
        <v>104</v>
      </c>
      <c r="N77" s="6" t="s">
        <v>344</v>
      </c>
      <c r="O77" s="6" t="s">
        <v>45</v>
      </c>
      <c r="P77" s="6" t="s">
        <v>74</v>
      </c>
      <c r="Q77" s="6" t="s">
        <v>345</v>
      </c>
      <c r="R77" s="5">
        <v>1.248</v>
      </c>
      <c r="S77" s="5">
        <v>3</v>
      </c>
      <c r="T77" s="5">
        <v>0.8</v>
      </c>
      <c r="U77" s="5">
        <v>-1.9343999999999999</v>
      </c>
    </row>
    <row r="78" spans="1:21" ht="29.4" thickBot="1" x14ac:dyDescent="0.35">
      <c r="A78" s="2">
        <v>77</v>
      </c>
      <c r="B78" s="3" t="s">
        <v>341</v>
      </c>
      <c r="C78" s="4">
        <v>43078</v>
      </c>
      <c r="D78" s="4">
        <v>43080</v>
      </c>
      <c r="E78" s="3" t="s">
        <v>187</v>
      </c>
      <c r="F78" s="3" t="s">
        <v>342</v>
      </c>
      <c r="G78" s="3" t="s">
        <v>343</v>
      </c>
      <c r="H78" s="3" t="s">
        <v>40</v>
      </c>
      <c r="I78" s="3" t="s">
        <v>26</v>
      </c>
      <c r="J78" s="3" t="s">
        <v>183</v>
      </c>
      <c r="K78" s="3" t="s">
        <v>103</v>
      </c>
      <c r="L78" s="2">
        <v>77041</v>
      </c>
      <c r="M78" s="3" t="s">
        <v>104</v>
      </c>
      <c r="N78" s="3" t="s">
        <v>346</v>
      </c>
      <c r="O78" s="3" t="s">
        <v>31</v>
      </c>
      <c r="P78" s="3" t="s">
        <v>64</v>
      </c>
      <c r="Q78" s="3" t="s">
        <v>347</v>
      </c>
      <c r="R78" s="2">
        <v>9.7080000000000002</v>
      </c>
      <c r="S78" s="2">
        <v>3</v>
      </c>
      <c r="T78" s="2">
        <v>0.6</v>
      </c>
      <c r="U78" s="2">
        <v>-5.8247999999999998</v>
      </c>
    </row>
    <row r="79" spans="1:21" ht="29.4" thickBot="1" x14ac:dyDescent="0.35">
      <c r="A79" s="5">
        <v>78</v>
      </c>
      <c r="B79" s="6" t="s">
        <v>341</v>
      </c>
      <c r="C79" s="7">
        <v>43078</v>
      </c>
      <c r="D79" s="7">
        <v>43080</v>
      </c>
      <c r="E79" s="6" t="s">
        <v>187</v>
      </c>
      <c r="F79" s="6" t="s">
        <v>342</v>
      </c>
      <c r="G79" s="6" t="s">
        <v>343</v>
      </c>
      <c r="H79" s="6" t="s">
        <v>40</v>
      </c>
      <c r="I79" s="6" t="s">
        <v>26</v>
      </c>
      <c r="J79" s="6" t="s">
        <v>183</v>
      </c>
      <c r="K79" s="6" t="s">
        <v>103</v>
      </c>
      <c r="L79" s="5">
        <v>77041</v>
      </c>
      <c r="M79" s="6" t="s">
        <v>104</v>
      </c>
      <c r="N79" s="6" t="s">
        <v>348</v>
      </c>
      <c r="O79" s="6" t="s">
        <v>45</v>
      </c>
      <c r="P79" s="6" t="s">
        <v>58</v>
      </c>
      <c r="Q79" s="6" t="s">
        <v>349</v>
      </c>
      <c r="R79" s="5">
        <v>27.24</v>
      </c>
      <c r="S79" s="5">
        <v>3</v>
      </c>
      <c r="T79" s="5">
        <v>0.2</v>
      </c>
      <c r="U79" s="5">
        <v>2.7240000000000002</v>
      </c>
    </row>
    <row r="80" spans="1:21" ht="29.4" thickBot="1" x14ac:dyDescent="0.35">
      <c r="A80" s="2">
        <v>79</v>
      </c>
      <c r="B80" s="3" t="s">
        <v>350</v>
      </c>
      <c r="C80" s="4">
        <v>41969</v>
      </c>
      <c r="D80" s="4">
        <v>41974</v>
      </c>
      <c r="E80" s="3" t="s">
        <v>22</v>
      </c>
      <c r="F80" s="3" t="s">
        <v>331</v>
      </c>
      <c r="G80" s="3" t="s">
        <v>332</v>
      </c>
      <c r="H80" s="3" t="s">
        <v>25</v>
      </c>
      <c r="I80" s="3" t="s">
        <v>26</v>
      </c>
      <c r="J80" s="3" t="s">
        <v>183</v>
      </c>
      <c r="K80" s="3" t="s">
        <v>103</v>
      </c>
      <c r="L80" s="2">
        <v>77070</v>
      </c>
      <c r="M80" s="3" t="s">
        <v>104</v>
      </c>
      <c r="N80" s="3" t="s">
        <v>351</v>
      </c>
      <c r="O80" s="3" t="s">
        <v>31</v>
      </c>
      <c r="P80" s="3" t="s">
        <v>64</v>
      </c>
      <c r="Q80" s="3" t="s">
        <v>352</v>
      </c>
      <c r="R80" s="2">
        <v>19.3</v>
      </c>
      <c r="S80" s="2">
        <v>5</v>
      </c>
      <c r="T80" s="2">
        <v>0.6</v>
      </c>
      <c r="U80" s="2">
        <v>-14.475</v>
      </c>
    </row>
    <row r="81" spans="1:21" ht="29.4" thickBot="1" x14ac:dyDescent="0.35">
      <c r="A81" s="5">
        <v>80</v>
      </c>
      <c r="B81" s="6" t="s">
        <v>353</v>
      </c>
      <c r="C81" s="7">
        <v>42533</v>
      </c>
      <c r="D81" s="7">
        <v>42536</v>
      </c>
      <c r="E81" s="6" t="s">
        <v>187</v>
      </c>
      <c r="F81" s="6" t="s">
        <v>354</v>
      </c>
      <c r="G81" s="6" t="s">
        <v>355</v>
      </c>
      <c r="H81" s="6" t="s">
        <v>40</v>
      </c>
      <c r="I81" s="6" t="s">
        <v>26</v>
      </c>
      <c r="J81" s="6" t="s">
        <v>356</v>
      </c>
      <c r="K81" s="6" t="s">
        <v>357</v>
      </c>
      <c r="L81" s="5">
        <v>35601</v>
      </c>
      <c r="M81" s="6" t="s">
        <v>29</v>
      </c>
      <c r="N81" s="6" t="s">
        <v>358</v>
      </c>
      <c r="O81" s="6" t="s">
        <v>45</v>
      </c>
      <c r="P81" s="6" t="s">
        <v>77</v>
      </c>
      <c r="Q81" s="6" t="s">
        <v>359</v>
      </c>
      <c r="R81" s="5">
        <v>208.16</v>
      </c>
      <c r="S81" s="5">
        <v>1</v>
      </c>
      <c r="T81" s="5">
        <v>0</v>
      </c>
      <c r="U81" s="5">
        <v>56.203200000000002</v>
      </c>
    </row>
    <row r="82" spans="1:21" ht="29.4" thickBot="1" x14ac:dyDescent="0.35">
      <c r="A82" s="2">
        <v>81</v>
      </c>
      <c r="B82" s="3" t="s">
        <v>353</v>
      </c>
      <c r="C82" s="4">
        <v>42533</v>
      </c>
      <c r="D82" s="4">
        <v>42536</v>
      </c>
      <c r="E82" s="3" t="s">
        <v>187</v>
      </c>
      <c r="F82" s="3" t="s">
        <v>354</v>
      </c>
      <c r="G82" s="3" t="s">
        <v>355</v>
      </c>
      <c r="H82" s="3" t="s">
        <v>40</v>
      </c>
      <c r="I82" s="3" t="s">
        <v>26</v>
      </c>
      <c r="J82" s="3" t="s">
        <v>356</v>
      </c>
      <c r="K82" s="3" t="s">
        <v>357</v>
      </c>
      <c r="L82" s="2">
        <v>35601</v>
      </c>
      <c r="M82" s="3" t="s">
        <v>29</v>
      </c>
      <c r="N82" s="3" t="s">
        <v>360</v>
      </c>
      <c r="O82" s="3" t="s">
        <v>45</v>
      </c>
      <c r="P82" s="3" t="s">
        <v>74</v>
      </c>
      <c r="Q82" s="3" t="s">
        <v>361</v>
      </c>
      <c r="R82" s="2">
        <v>16.739999999999998</v>
      </c>
      <c r="S82" s="2">
        <v>3</v>
      </c>
      <c r="T82" s="2">
        <v>0</v>
      </c>
      <c r="U82" s="2">
        <v>8.0351999999999997</v>
      </c>
    </row>
    <row r="83" spans="1:21" ht="29.4" thickBot="1" x14ac:dyDescent="0.35">
      <c r="A83" s="5">
        <v>82</v>
      </c>
      <c r="B83" s="6" t="s">
        <v>362</v>
      </c>
      <c r="C83" s="7">
        <v>41924</v>
      </c>
      <c r="D83" s="7">
        <v>41928</v>
      </c>
      <c r="E83" s="6" t="s">
        <v>49</v>
      </c>
      <c r="F83" s="6" t="s">
        <v>363</v>
      </c>
      <c r="G83" s="6" t="s">
        <v>364</v>
      </c>
      <c r="H83" s="6" t="s">
        <v>25</v>
      </c>
      <c r="I83" s="6" t="s">
        <v>26</v>
      </c>
      <c r="J83" s="6" t="s">
        <v>126</v>
      </c>
      <c r="K83" s="6" t="s">
        <v>42</v>
      </c>
      <c r="L83" s="5">
        <v>94122</v>
      </c>
      <c r="M83" s="6" t="s">
        <v>43</v>
      </c>
      <c r="N83" s="6" t="s">
        <v>365</v>
      </c>
      <c r="O83" s="6" t="s">
        <v>45</v>
      </c>
      <c r="P83" s="6" t="s">
        <v>67</v>
      </c>
      <c r="Q83" s="6" t="s">
        <v>366</v>
      </c>
      <c r="R83" s="5">
        <v>14.9</v>
      </c>
      <c r="S83" s="5">
        <v>5</v>
      </c>
      <c r="T83" s="5">
        <v>0</v>
      </c>
      <c r="U83" s="5">
        <v>4.1719999999999997</v>
      </c>
    </row>
    <row r="84" spans="1:21" ht="29.4" thickBot="1" x14ac:dyDescent="0.35">
      <c r="A84" s="2">
        <v>83</v>
      </c>
      <c r="B84" s="3" t="s">
        <v>362</v>
      </c>
      <c r="C84" s="4">
        <v>41924</v>
      </c>
      <c r="D84" s="4">
        <v>41928</v>
      </c>
      <c r="E84" s="3" t="s">
        <v>49</v>
      </c>
      <c r="F84" s="3" t="s">
        <v>363</v>
      </c>
      <c r="G84" s="3" t="s">
        <v>364</v>
      </c>
      <c r="H84" s="3" t="s">
        <v>25</v>
      </c>
      <c r="I84" s="3" t="s">
        <v>26</v>
      </c>
      <c r="J84" s="3" t="s">
        <v>126</v>
      </c>
      <c r="K84" s="3" t="s">
        <v>42</v>
      </c>
      <c r="L84" s="2">
        <v>94122</v>
      </c>
      <c r="M84" s="3" t="s">
        <v>43</v>
      </c>
      <c r="N84" s="3" t="s">
        <v>367</v>
      </c>
      <c r="O84" s="3" t="s">
        <v>45</v>
      </c>
      <c r="P84" s="3" t="s">
        <v>58</v>
      </c>
      <c r="Q84" s="3" t="s">
        <v>368</v>
      </c>
      <c r="R84" s="2">
        <v>21.39</v>
      </c>
      <c r="S84" s="2">
        <v>1</v>
      </c>
      <c r="T84" s="2">
        <v>0</v>
      </c>
      <c r="U84" s="2">
        <v>6.2031000000000001</v>
      </c>
    </row>
    <row r="85" spans="1:21" ht="29.4" thickBot="1" x14ac:dyDescent="0.35">
      <c r="A85" s="5">
        <v>84</v>
      </c>
      <c r="B85" s="6" t="s">
        <v>369</v>
      </c>
      <c r="C85" s="7">
        <v>42250</v>
      </c>
      <c r="D85" s="7">
        <v>42255</v>
      </c>
      <c r="E85" s="6" t="s">
        <v>49</v>
      </c>
      <c r="F85" s="6" t="s">
        <v>370</v>
      </c>
      <c r="G85" s="6" t="s">
        <v>371</v>
      </c>
      <c r="H85" s="6" t="s">
        <v>40</v>
      </c>
      <c r="I85" s="6" t="s">
        <v>26</v>
      </c>
      <c r="J85" s="6" t="s">
        <v>372</v>
      </c>
      <c r="K85" s="6" t="s">
        <v>87</v>
      </c>
      <c r="L85" s="5">
        <v>27707</v>
      </c>
      <c r="M85" s="6" t="s">
        <v>29</v>
      </c>
      <c r="N85" s="6" t="s">
        <v>373</v>
      </c>
      <c r="O85" s="6" t="s">
        <v>45</v>
      </c>
      <c r="P85" s="6" t="s">
        <v>172</v>
      </c>
      <c r="Q85" s="6" t="s">
        <v>374</v>
      </c>
      <c r="R85" s="5">
        <v>200.98400000000001</v>
      </c>
      <c r="S85" s="5">
        <v>7</v>
      </c>
      <c r="T85" s="5">
        <v>0.2</v>
      </c>
      <c r="U85" s="5">
        <v>62.807499999999997</v>
      </c>
    </row>
    <row r="86" spans="1:21" ht="29.4" thickBot="1" x14ac:dyDescent="0.35">
      <c r="A86" s="2">
        <v>85</v>
      </c>
      <c r="B86" s="3" t="s">
        <v>375</v>
      </c>
      <c r="C86" s="4">
        <v>43052</v>
      </c>
      <c r="D86" s="4">
        <v>43055</v>
      </c>
      <c r="E86" s="3" t="s">
        <v>187</v>
      </c>
      <c r="F86" s="3" t="s">
        <v>376</v>
      </c>
      <c r="G86" s="3" t="s">
        <v>377</v>
      </c>
      <c r="H86" s="3" t="s">
        <v>101</v>
      </c>
      <c r="I86" s="3" t="s">
        <v>26</v>
      </c>
      <c r="J86" s="3" t="s">
        <v>302</v>
      </c>
      <c r="K86" s="3" t="s">
        <v>210</v>
      </c>
      <c r="L86" s="2">
        <v>60623</v>
      </c>
      <c r="M86" s="3" t="s">
        <v>104</v>
      </c>
      <c r="N86" s="3" t="s">
        <v>378</v>
      </c>
      <c r="O86" s="3" t="s">
        <v>45</v>
      </c>
      <c r="P86" s="3" t="s">
        <v>58</v>
      </c>
      <c r="Q86" s="3" t="s">
        <v>379</v>
      </c>
      <c r="R86" s="2">
        <v>230.376</v>
      </c>
      <c r="S86" s="2">
        <v>3</v>
      </c>
      <c r="T86" s="2">
        <v>0.2</v>
      </c>
      <c r="U86" s="2">
        <v>-48.954900000000002</v>
      </c>
    </row>
    <row r="87" spans="1:21" ht="29.4" thickBot="1" x14ac:dyDescent="0.35">
      <c r="A87" s="5">
        <v>86</v>
      </c>
      <c r="B87" s="6" t="s">
        <v>380</v>
      </c>
      <c r="C87" s="7">
        <v>42883</v>
      </c>
      <c r="D87" s="7">
        <v>42885</v>
      </c>
      <c r="E87" s="6" t="s">
        <v>22</v>
      </c>
      <c r="F87" s="6" t="s">
        <v>234</v>
      </c>
      <c r="G87" s="6" t="s">
        <v>235</v>
      </c>
      <c r="H87" s="6" t="s">
        <v>25</v>
      </c>
      <c r="I87" s="6" t="s">
        <v>26</v>
      </c>
      <c r="J87" s="6" t="s">
        <v>381</v>
      </c>
      <c r="K87" s="6" t="s">
        <v>382</v>
      </c>
      <c r="L87" s="5">
        <v>29203</v>
      </c>
      <c r="M87" s="6" t="s">
        <v>29</v>
      </c>
      <c r="N87" s="6" t="s">
        <v>383</v>
      </c>
      <c r="O87" s="6" t="s">
        <v>31</v>
      </c>
      <c r="P87" s="6" t="s">
        <v>35</v>
      </c>
      <c r="Q87" s="6" t="s">
        <v>384</v>
      </c>
      <c r="R87" s="5">
        <v>301.95999999999998</v>
      </c>
      <c r="S87" s="5">
        <v>2</v>
      </c>
      <c r="T87" s="5">
        <v>0</v>
      </c>
      <c r="U87" s="5">
        <v>33.215600000000002</v>
      </c>
    </row>
    <row r="88" spans="1:21" ht="29.4" thickBot="1" x14ac:dyDescent="0.35">
      <c r="A88" s="2">
        <v>87</v>
      </c>
      <c r="B88" s="3" t="s">
        <v>385</v>
      </c>
      <c r="C88" s="4">
        <v>43034</v>
      </c>
      <c r="D88" s="4">
        <v>43041</v>
      </c>
      <c r="E88" s="3" t="s">
        <v>49</v>
      </c>
      <c r="F88" s="3" t="s">
        <v>386</v>
      </c>
      <c r="G88" s="3" t="s">
        <v>387</v>
      </c>
      <c r="H88" s="3" t="s">
        <v>25</v>
      </c>
      <c r="I88" s="3" t="s">
        <v>26</v>
      </c>
      <c r="J88" s="3" t="s">
        <v>388</v>
      </c>
      <c r="K88" s="3" t="s">
        <v>228</v>
      </c>
      <c r="L88" s="2">
        <v>55901</v>
      </c>
      <c r="M88" s="3" t="s">
        <v>104</v>
      </c>
      <c r="N88" s="3" t="s">
        <v>389</v>
      </c>
      <c r="O88" s="3" t="s">
        <v>70</v>
      </c>
      <c r="P88" s="3" t="s">
        <v>160</v>
      </c>
      <c r="Q88" s="3" t="s">
        <v>390</v>
      </c>
      <c r="R88" s="2">
        <v>19.989999999999998</v>
      </c>
      <c r="S88" s="2">
        <v>1</v>
      </c>
      <c r="T88" s="2">
        <v>0</v>
      </c>
      <c r="U88" s="2">
        <v>6.7965999999999998</v>
      </c>
    </row>
    <row r="89" spans="1:21" ht="29.4" thickBot="1" x14ac:dyDescent="0.35">
      <c r="A89" s="5">
        <v>88</v>
      </c>
      <c r="B89" s="6" t="s">
        <v>385</v>
      </c>
      <c r="C89" s="7">
        <v>43034</v>
      </c>
      <c r="D89" s="7">
        <v>43041</v>
      </c>
      <c r="E89" s="6" t="s">
        <v>49</v>
      </c>
      <c r="F89" s="6" t="s">
        <v>386</v>
      </c>
      <c r="G89" s="6" t="s">
        <v>387</v>
      </c>
      <c r="H89" s="6" t="s">
        <v>25</v>
      </c>
      <c r="I89" s="6" t="s">
        <v>26</v>
      </c>
      <c r="J89" s="6" t="s">
        <v>388</v>
      </c>
      <c r="K89" s="6" t="s">
        <v>228</v>
      </c>
      <c r="L89" s="5">
        <v>55901</v>
      </c>
      <c r="M89" s="6" t="s">
        <v>104</v>
      </c>
      <c r="N89" s="6" t="s">
        <v>391</v>
      </c>
      <c r="O89" s="6" t="s">
        <v>45</v>
      </c>
      <c r="P89" s="6" t="s">
        <v>46</v>
      </c>
      <c r="Q89" s="6" t="s">
        <v>392</v>
      </c>
      <c r="R89" s="5">
        <v>6.16</v>
      </c>
      <c r="S89" s="5">
        <v>2</v>
      </c>
      <c r="T89" s="5">
        <v>0</v>
      </c>
      <c r="U89" s="5">
        <v>2.9567999999999999</v>
      </c>
    </row>
    <row r="90" spans="1:21" ht="29.4" thickBot="1" x14ac:dyDescent="0.35">
      <c r="A90" s="2">
        <v>89</v>
      </c>
      <c r="B90" s="3" t="s">
        <v>393</v>
      </c>
      <c r="C90" s="4">
        <v>42465</v>
      </c>
      <c r="D90" s="4">
        <v>42470</v>
      </c>
      <c r="E90" s="3" t="s">
        <v>22</v>
      </c>
      <c r="F90" s="3" t="s">
        <v>394</v>
      </c>
      <c r="G90" s="3" t="s">
        <v>395</v>
      </c>
      <c r="H90" s="3" t="s">
        <v>101</v>
      </c>
      <c r="I90" s="3" t="s">
        <v>26</v>
      </c>
      <c r="J90" s="3" t="s">
        <v>183</v>
      </c>
      <c r="K90" s="3" t="s">
        <v>103</v>
      </c>
      <c r="L90" s="2">
        <v>77095</v>
      </c>
      <c r="M90" s="3" t="s">
        <v>104</v>
      </c>
      <c r="N90" s="3" t="s">
        <v>396</v>
      </c>
      <c r="O90" s="3" t="s">
        <v>45</v>
      </c>
      <c r="P90" s="3" t="s">
        <v>58</v>
      </c>
      <c r="Q90" s="3" t="s">
        <v>397</v>
      </c>
      <c r="R90" s="2">
        <v>158.36799999999999</v>
      </c>
      <c r="S90" s="2">
        <v>7</v>
      </c>
      <c r="T90" s="2">
        <v>0.2</v>
      </c>
      <c r="U90" s="2">
        <v>13.857200000000001</v>
      </c>
    </row>
    <row r="91" spans="1:21" ht="29.4" thickBot="1" x14ac:dyDescent="0.35">
      <c r="A91" s="5">
        <v>90</v>
      </c>
      <c r="B91" s="6" t="s">
        <v>398</v>
      </c>
      <c r="C91" s="7">
        <v>42630</v>
      </c>
      <c r="D91" s="7">
        <v>42635</v>
      </c>
      <c r="E91" s="6" t="s">
        <v>49</v>
      </c>
      <c r="F91" s="6" t="s">
        <v>399</v>
      </c>
      <c r="G91" s="6" t="s">
        <v>400</v>
      </c>
      <c r="H91" s="6" t="s">
        <v>40</v>
      </c>
      <c r="I91" s="6" t="s">
        <v>26</v>
      </c>
      <c r="J91" s="6" t="s">
        <v>41</v>
      </c>
      <c r="K91" s="6" t="s">
        <v>42</v>
      </c>
      <c r="L91" s="5">
        <v>90036</v>
      </c>
      <c r="M91" s="6" t="s">
        <v>43</v>
      </c>
      <c r="N91" s="6" t="s">
        <v>401</v>
      </c>
      <c r="O91" s="6" t="s">
        <v>45</v>
      </c>
      <c r="P91" s="6" t="s">
        <v>67</v>
      </c>
      <c r="Q91" s="6" t="s">
        <v>402</v>
      </c>
      <c r="R91" s="5">
        <v>20.100000000000001</v>
      </c>
      <c r="S91" s="5">
        <v>3</v>
      </c>
      <c r="T91" s="5">
        <v>0</v>
      </c>
      <c r="U91" s="5">
        <v>6.633</v>
      </c>
    </row>
    <row r="92" spans="1:21" ht="29.4" thickBot="1" x14ac:dyDescent="0.35">
      <c r="A92" s="2">
        <v>91</v>
      </c>
      <c r="B92" s="3" t="s">
        <v>398</v>
      </c>
      <c r="C92" s="4">
        <v>42630</v>
      </c>
      <c r="D92" s="4">
        <v>42635</v>
      </c>
      <c r="E92" s="3" t="s">
        <v>49</v>
      </c>
      <c r="F92" s="3" t="s">
        <v>399</v>
      </c>
      <c r="G92" s="3" t="s">
        <v>400</v>
      </c>
      <c r="H92" s="3" t="s">
        <v>40</v>
      </c>
      <c r="I92" s="3" t="s">
        <v>26</v>
      </c>
      <c r="J92" s="3" t="s">
        <v>41</v>
      </c>
      <c r="K92" s="3" t="s">
        <v>42</v>
      </c>
      <c r="L92" s="2">
        <v>90036</v>
      </c>
      <c r="M92" s="3" t="s">
        <v>43</v>
      </c>
      <c r="N92" s="3" t="s">
        <v>211</v>
      </c>
      <c r="O92" s="3" t="s">
        <v>70</v>
      </c>
      <c r="P92" s="3" t="s">
        <v>71</v>
      </c>
      <c r="Q92" s="3" t="s">
        <v>212</v>
      </c>
      <c r="R92" s="2">
        <v>73.584000000000003</v>
      </c>
      <c r="S92" s="2">
        <v>2</v>
      </c>
      <c r="T92" s="2">
        <v>0.2</v>
      </c>
      <c r="U92" s="2">
        <v>8.2782</v>
      </c>
    </row>
    <row r="93" spans="1:21" ht="29.4" thickBot="1" x14ac:dyDescent="0.35">
      <c r="A93" s="5">
        <v>92</v>
      </c>
      <c r="B93" s="6" t="s">
        <v>398</v>
      </c>
      <c r="C93" s="7">
        <v>42630</v>
      </c>
      <c r="D93" s="7">
        <v>42635</v>
      </c>
      <c r="E93" s="6" t="s">
        <v>49</v>
      </c>
      <c r="F93" s="6" t="s">
        <v>399</v>
      </c>
      <c r="G93" s="6" t="s">
        <v>400</v>
      </c>
      <c r="H93" s="6" t="s">
        <v>40</v>
      </c>
      <c r="I93" s="6" t="s">
        <v>26</v>
      </c>
      <c r="J93" s="6" t="s">
        <v>41</v>
      </c>
      <c r="K93" s="6" t="s">
        <v>42</v>
      </c>
      <c r="L93" s="5">
        <v>90036</v>
      </c>
      <c r="M93" s="6" t="s">
        <v>43</v>
      </c>
      <c r="N93" s="6" t="s">
        <v>403</v>
      </c>
      <c r="O93" s="6" t="s">
        <v>45</v>
      </c>
      <c r="P93" s="6" t="s">
        <v>89</v>
      </c>
      <c r="Q93" s="6" t="s">
        <v>404</v>
      </c>
      <c r="R93" s="5">
        <v>6.48</v>
      </c>
      <c r="S93" s="5">
        <v>1</v>
      </c>
      <c r="T93" s="5">
        <v>0</v>
      </c>
      <c r="U93" s="5">
        <v>3.1103999999999998</v>
      </c>
    </row>
    <row r="94" spans="1:21" ht="29.4" thickBot="1" x14ac:dyDescent="0.35">
      <c r="A94" s="2">
        <v>93</v>
      </c>
      <c r="B94" s="3" t="s">
        <v>405</v>
      </c>
      <c r="C94" s="4">
        <v>42035</v>
      </c>
      <c r="D94" s="4">
        <v>42040</v>
      </c>
      <c r="E94" s="3" t="s">
        <v>22</v>
      </c>
      <c r="F94" s="3" t="s">
        <v>406</v>
      </c>
      <c r="G94" s="3" t="s">
        <v>407</v>
      </c>
      <c r="H94" s="3" t="s">
        <v>25</v>
      </c>
      <c r="I94" s="3" t="s">
        <v>26</v>
      </c>
      <c r="J94" s="3" t="s">
        <v>408</v>
      </c>
      <c r="K94" s="3" t="s">
        <v>228</v>
      </c>
      <c r="L94" s="2">
        <v>55407</v>
      </c>
      <c r="M94" s="3" t="s">
        <v>104</v>
      </c>
      <c r="N94" s="3" t="s">
        <v>409</v>
      </c>
      <c r="O94" s="3" t="s">
        <v>45</v>
      </c>
      <c r="P94" s="3" t="s">
        <v>89</v>
      </c>
      <c r="Q94" s="3" t="s">
        <v>410</v>
      </c>
      <c r="R94" s="2">
        <v>12.96</v>
      </c>
      <c r="S94" s="2">
        <v>2</v>
      </c>
      <c r="T94" s="2">
        <v>0</v>
      </c>
      <c r="U94" s="2">
        <v>6.2207999999999997</v>
      </c>
    </row>
    <row r="95" spans="1:21" ht="29.4" thickBot="1" x14ac:dyDescent="0.35">
      <c r="A95" s="5">
        <v>94</v>
      </c>
      <c r="B95" s="6" t="s">
        <v>405</v>
      </c>
      <c r="C95" s="7">
        <v>42035</v>
      </c>
      <c r="D95" s="7">
        <v>42040</v>
      </c>
      <c r="E95" s="6" t="s">
        <v>22</v>
      </c>
      <c r="F95" s="6" t="s">
        <v>406</v>
      </c>
      <c r="G95" s="6" t="s">
        <v>407</v>
      </c>
      <c r="H95" s="6" t="s">
        <v>25</v>
      </c>
      <c r="I95" s="6" t="s">
        <v>26</v>
      </c>
      <c r="J95" s="6" t="s">
        <v>408</v>
      </c>
      <c r="K95" s="6" t="s">
        <v>228</v>
      </c>
      <c r="L95" s="5">
        <v>55407</v>
      </c>
      <c r="M95" s="6" t="s">
        <v>104</v>
      </c>
      <c r="N95" s="6" t="s">
        <v>411</v>
      </c>
      <c r="O95" s="6" t="s">
        <v>31</v>
      </c>
      <c r="P95" s="6" t="s">
        <v>64</v>
      </c>
      <c r="Q95" s="6" t="s">
        <v>412</v>
      </c>
      <c r="R95" s="5">
        <v>53.34</v>
      </c>
      <c r="S95" s="5">
        <v>3</v>
      </c>
      <c r="T95" s="5">
        <v>0</v>
      </c>
      <c r="U95" s="5">
        <v>16.535399999999999</v>
      </c>
    </row>
    <row r="96" spans="1:21" ht="29.4" thickBot="1" x14ac:dyDescent="0.35">
      <c r="A96" s="2">
        <v>95</v>
      </c>
      <c r="B96" s="3" t="s">
        <v>405</v>
      </c>
      <c r="C96" s="4">
        <v>42035</v>
      </c>
      <c r="D96" s="4">
        <v>42040</v>
      </c>
      <c r="E96" s="3" t="s">
        <v>22</v>
      </c>
      <c r="F96" s="3" t="s">
        <v>406</v>
      </c>
      <c r="G96" s="3" t="s">
        <v>407</v>
      </c>
      <c r="H96" s="3" t="s">
        <v>25</v>
      </c>
      <c r="I96" s="3" t="s">
        <v>26</v>
      </c>
      <c r="J96" s="3" t="s">
        <v>408</v>
      </c>
      <c r="K96" s="3" t="s">
        <v>228</v>
      </c>
      <c r="L96" s="2">
        <v>55407</v>
      </c>
      <c r="M96" s="3" t="s">
        <v>104</v>
      </c>
      <c r="N96" s="3" t="s">
        <v>413</v>
      </c>
      <c r="O96" s="3" t="s">
        <v>45</v>
      </c>
      <c r="P96" s="3" t="s">
        <v>74</v>
      </c>
      <c r="Q96" s="3" t="s">
        <v>414</v>
      </c>
      <c r="R96" s="2">
        <v>32.96</v>
      </c>
      <c r="S96" s="2">
        <v>2</v>
      </c>
      <c r="T96" s="2">
        <v>0</v>
      </c>
      <c r="U96" s="2">
        <v>16.150400000000001</v>
      </c>
    </row>
    <row r="97" spans="1:21" ht="29.4" thickBot="1" x14ac:dyDescent="0.35">
      <c r="A97" s="5">
        <v>96</v>
      </c>
      <c r="B97" s="6" t="s">
        <v>415</v>
      </c>
      <c r="C97" s="7">
        <v>43045</v>
      </c>
      <c r="D97" s="7">
        <v>43051</v>
      </c>
      <c r="E97" s="6" t="s">
        <v>49</v>
      </c>
      <c r="F97" s="6" t="s">
        <v>416</v>
      </c>
      <c r="G97" s="6" t="s">
        <v>417</v>
      </c>
      <c r="H97" s="6" t="s">
        <v>101</v>
      </c>
      <c r="I97" s="6" t="s">
        <v>26</v>
      </c>
      <c r="J97" s="6" t="s">
        <v>418</v>
      </c>
      <c r="K97" s="6" t="s">
        <v>419</v>
      </c>
      <c r="L97" s="5">
        <v>97206</v>
      </c>
      <c r="M97" s="6" t="s">
        <v>43</v>
      </c>
      <c r="N97" s="6" t="s">
        <v>420</v>
      </c>
      <c r="O97" s="6" t="s">
        <v>45</v>
      </c>
      <c r="P97" s="6" t="s">
        <v>74</v>
      </c>
      <c r="Q97" s="6" t="s">
        <v>421</v>
      </c>
      <c r="R97" s="5">
        <v>5.6820000000000004</v>
      </c>
      <c r="S97" s="5">
        <v>1</v>
      </c>
      <c r="T97" s="5">
        <v>0.7</v>
      </c>
      <c r="U97" s="5">
        <v>-3.7879999999999998</v>
      </c>
    </row>
    <row r="98" spans="1:21" ht="29.4" thickBot="1" x14ac:dyDescent="0.35">
      <c r="A98" s="2">
        <v>97</v>
      </c>
      <c r="B98" s="3" t="s">
        <v>422</v>
      </c>
      <c r="C98" s="4">
        <v>43048</v>
      </c>
      <c r="D98" s="4">
        <v>43050</v>
      </c>
      <c r="E98" s="3" t="s">
        <v>22</v>
      </c>
      <c r="F98" s="3" t="s">
        <v>423</v>
      </c>
      <c r="G98" s="3" t="s">
        <v>424</v>
      </c>
      <c r="H98" s="3" t="s">
        <v>101</v>
      </c>
      <c r="I98" s="3" t="s">
        <v>26</v>
      </c>
      <c r="J98" s="3" t="s">
        <v>265</v>
      </c>
      <c r="K98" s="3" t="s">
        <v>266</v>
      </c>
      <c r="L98" s="2">
        <v>10009</v>
      </c>
      <c r="M98" s="3" t="s">
        <v>147</v>
      </c>
      <c r="N98" s="3" t="s">
        <v>425</v>
      </c>
      <c r="O98" s="3" t="s">
        <v>31</v>
      </c>
      <c r="P98" s="3" t="s">
        <v>64</v>
      </c>
      <c r="Q98" s="3" t="s">
        <v>426</v>
      </c>
      <c r="R98" s="2">
        <v>96.53</v>
      </c>
      <c r="S98" s="2">
        <v>7</v>
      </c>
      <c r="T98" s="2">
        <v>0</v>
      </c>
      <c r="U98" s="2">
        <v>40.5426</v>
      </c>
    </row>
    <row r="99" spans="1:21" ht="29.4" thickBot="1" x14ac:dyDescent="0.35">
      <c r="A99" s="5">
        <v>98</v>
      </c>
      <c r="B99" s="6" t="s">
        <v>427</v>
      </c>
      <c r="C99" s="7">
        <v>42903</v>
      </c>
      <c r="D99" s="7">
        <v>42906</v>
      </c>
      <c r="E99" s="6" t="s">
        <v>187</v>
      </c>
      <c r="F99" s="6" t="s">
        <v>428</v>
      </c>
      <c r="G99" s="6" t="s">
        <v>429</v>
      </c>
      <c r="H99" s="6" t="s">
        <v>25</v>
      </c>
      <c r="I99" s="6" t="s">
        <v>26</v>
      </c>
      <c r="J99" s="6" t="s">
        <v>126</v>
      </c>
      <c r="K99" s="6" t="s">
        <v>42</v>
      </c>
      <c r="L99" s="5">
        <v>94122</v>
      </c>
      <c r="M99" s="6" t="s">
        <v>43</v>
      </c>
      <c r="N99" s="6" t="s">
        <v>430</v>
      </c>
      <c r="O99" s="6" t="s">
        <v>45</v>
      </c>
      <c r="P99" s="6" t="s">
        <v>74</v>
      </c>
      <c r="Q99" s="6" t="s">
        <v>431</v>
      </c>
      <c r="R99" s="5">
        <v>51.311999999999998</v>
      </c>
      <c r="S99" s="5">
        <v>3</v>
      </c>
      <c r="T99" s="5">
        <v>0.2</v>
      </c>
      <c r="U99" s="5">
        <v>17.959199999999999</v>
      </c>
    </row>
    <row r="100" spans="1:21" ht="29.4" thickBot="1" x14ac:dyDescent="0.35">
      <c r="A100" s="2">
        <v>99</v>
      </c>
      <c r="B100" s="3" t="s">
        <v>432</v>
      </c>
      <c r="C100" s="4">
        <v>42619</v>
      </c>
      <c r="D100" s="4">
        <v>42624</v>
      </c>
      <c r="E100" s="3" t="s">
        <v>49</v>
      </c>
      <c r="F100" s="3" t="s">
        <v>433</v>
      </c>
      <c r="G100" s="3" t="s">
        <v>434</v>
      </c>
      <c r="H100" s="3" t="s">
        <v>40</v>
      </c>
      <c r="I100" s="3" t="s">
        <v>26</v>
      </c>
      <c r="J100" s="3" t="s">
        <v>435</v>
      </c>
      <c r="K100" s="3" t="s">
        <v>228</v>
      </c>
      <c r="L100" s="2">
        <v>55106</v>
      </c>
      <c r="M100" s="3" t="s">
        <v>104</v>
      </c>
      <c r="N100" s="3" t="s">
        <v>436</v>
      </c>
      <c r="O100" s="3" t="s">
        <v>45</v>
      </c>
      <c r="P100" s="3" t="s">
        <v>77</v>
      </c>
      <c r="Q100" s="3" t="s">
        <v>437</v>
      </c>
      <c r="R100" s="2">
        <v>77.88</v>
      </c>
      <c r="S100" s="2">
        <v>6</v>
      </c>
      <c r="T100" s="2">
        <v>0</v>
      </c>
      <c r="U100" s="2">
        <v>22.5852</v>
      </c>
    </row>
    <row r="101" spans="1:21" ht="29.4" thickBot="1" x14ac:dyDescent="0.35">
      <c r="A101" s="5">
        <v>100</v>
      </c>
      <c r="B101" s="6" t="s">
        <v>438</v>
      </c>
      <c r="C101" s="7">
        <v>42611</v>
      </c>
      <c r="D101" s="7">
        <v>42615</v>
      </c>
      <c r="E101" s="6" t="s">
        <v>49</v>
      </c>
      <c r="F101" s="6" t="s">
        <v>439</v>
      </c>
      <c r="G101" s="6" t="s">
        <v>440</v>
      </c>
      <c r="H101" s="6" t="s">
        <v>101</v>
      </c>
      <c r="I101" s="6" t="s">
        <v>26</v>
      </c>
      <c r="J101" s="6" t="s">
        <v>302</v>
      </c>
      <c r="K101" s="6" t="s">
        <v>210</v>
      </c>
      <c r="L101" s="5">
        <v>60610</v>
      </c>
      <c r="M101" s="6" t="s">
        <v>104</v>
      </c>
      <c r="N101" s="6" t="s">
        <v>441</v>
      </c>
      <c r="O101" s="6" t="s">
        <v>45</v>
      </c>
      <c r="P101" s="6" t="s">
        <v>89</v>
      </c>
      <c r="Q101" s="6" t="s">
        <v>442</v>
      </c>
      <c r="R101" s="5">
        <v>64.623999999999995</v>
      </c>
      <c r="S101" s="5">
        <v>7</v>
      </c>
      <c r="T101" s="5">
        <v>0.2</v>
      </c>
      <c r="U101" s="5">
        <v>22.618400000000001</v>
      </c>
    </row>
    <row r="102" spans="1:21" ht="29.4" thickBot="1" x14ac:dyDescent="0.35">
      <c r="A102" s="2">
        <v>101</v>
      </c>
      <c r="B102" s="3" t="s">
        <v>438</v>
      </c>
      <c r="C102" s="4">
        <v>42611</v>
      </c>
      <c r="D102" s="4">
        <v>42615</v>
      </c>
      <c r="E102" s="3" t="s">
        <v>49</v>
      </c>
      <c r="F102" s="3" t="s">
        <v>439</v>
      </c>
      <c r="G102" s="3" t="s">
        <v>440</v>
      </c>
      <c r="H102" s="3" t="s">
        <v>101</v>
      </c>
      <c r="I102" s="3" t="s">
        <v>26</v>
      </c>
      <c r="J102" s="3" t="s">
        <v>302</v>
      </c>
      <c r="K102" s="3" t="s">
        <v>210</v>
      </c>
      <c r="L102" s="2">
        <v>60610</v>
      </c>
      <c r="M102" s="3" t="s">
        <v>104</v>
      </c>
      <c r="N102" s="3" t="s">
        <v>443</v>
      </c>
      <c r="O102" s="3" t="s">
        <v>70</v>
      </c>
      <c r="P102" s="3" t="s">
        <v>160</v>
      </c>
      <c r="Q102" s="3" t="s">
        <v>444</v>
      </c>
      <c r="R102" s="2">
        <v>95.975999999999999</v>
      </c>
      <c r="S102" s="2">
        <v>3</v>
      </c>
      <c r="T102" s="2">
        <v>0.2</v>
      </c>
      <c r="U102" s="2">
        <v>-10.7973</v>
      </c>
    </row>
    <row r="103" spans="1:21" ht="29.4" thickBot="1" x14ac:dyDescent="0.35">
      <c r="A103" s="5">
        <v>102</v>
      </c>
      <c r="B103" s="6" t="s">
        <v>438</v>
      </c>
      <c r="C103" s="7">
        <v>42611</v>
      </c>
      <c r="D103" s="7">
        <v>42615</v>
      </c>
      <c r="E103" s="6" t="s">
        <v>49</v>
      </c>
      <c r="F103" s="6" t="s">
        <v>439</v>
      </c>
      <c r="G103" s="6" t="s">
        <v>440</v>
      </c>
      <c r="H103" s="6" t="s">
        <v>101</v>
      </c>
      <c r="I103" s="6" t="s">
        <v>26</v>
      </c>
      <c r="J103" s="6" t="s">
        <v>302</v>
      </c>
      <c r="K103" s="6" t="s">
        <v>210</v>
      </c>
      <c r="L103" s="5">
        <v>60610</v>
      </c>
      <c r="M103" s="6" t="s">
        <v>104</v>
      </c>
      <c r="N103" s="6" t="s">
        <v>445</v>
      </c>
      <c r="O103" s="6" t="s">
        <v>45</v>
      </c>
      <c r="P103" s="6" t="s">
        <v>74</v>
      </c>
      <c r="Q103" s="6" t="s">
        <v>446</v>
      </c>
      <c r="R103" s="5">
        <v>1.788</v>
      </c>
      <c r="S103" s="5">
        <v>3</v>
      </c>
      <c r="T103" s="5">
        <v>0.8</v>
      </c>
      <c r="U103" s="5">
        <v>-3.0396000000000001</v>
      </c>
    </row>
    <row r="104" spans="1:21" ht="29.4" thickBot="1" x14ac:dyDescent="0.35">
      <c r="A104" s="2">
        <v>103</v>
      </c>
      <c r="B104" s="3" t="s">
        <v>447</v>
      </c>
      <c r="C104" s="4">
        <v>42705</v>
      </c>
      <c r="D104" s="4">
        <v>42708</v>
      </c>
      <c r="E104" s="3" t="s">
        <v>22</v>
      </c>
      <c r="F104" s="3" t="s">
        <v>448</v>
      </c>
      <c r="G104" s="3" t="s">
        <v>449</v>
      </c>
      <c r="H104" s="3" t="s">
        <v>25</v>
      </c>
      <c r="I104" s="3" t="s">
        <v>26</v>
      </c>
      <c r="J104" s="3" t="s">
        <v>388</v>
      </c>
      <c r="K104" s="3" t="s">
        <v>228</v>
      </c>
      <c r="L104" s="2">
        <v>55901</v>
      </c>
      <c r="M104" s="3" t="s">
        <v>104</v>
      </c>
      <c r="N104" s="3" t="s">
        <v>450</v>
      </c>
      <c r="O104" s="3" t="s">
        <v>45</v>
      </c>
      <c r="P104" s="3" t="s">
        <v>89</v>
      </c>
      <c r="Q104" s="3" t="s">
        <v>451</v>
      </c>
      <c r="R104" s="2">
        <v>23.92</v>
      </c>
      <c r="S104" s="2">
        <v>4</v>
      </c>
      <c r="T104" s="2">
        <v>0</v>
      </c>
      <c r="U104" s="2">
        <v>11.720800000000001</v>
      </c>
    </row>
    <row r="105" spans="1:21" ht="29.4" thickBot="1" x14ac:dyDescent="0.35">
      <c r="A105" s="5">
        <v>104</v>
      </c>
      <c r="B105" s="6" t="s">
        <v>452</v>
      </c>
      <c r="C105" s="7">
        <v>42321</v>
      </c>
      <c r="D105" s="7">
        <v>42325</v>
      </c>
      <c r="E105" s="6" t="s">
        <v>49</v>
      </c>
      <c r="F105" s="6" t="s">
        <v>453</v>
      </c>
      <c r="G105" s="6" t="s">
        <v>454</v>
      </c>
      <c r="H105" s="6" t="s">
        <v>25</v>
      </c>
      <c r="I105" s="6" t="s">
        <v>26</v>
      </c>
      <c r="J105" s="6" t="s">
        <v>455</v>
      </c>
      <c r="K105" s="6" t="s">
        <v>456</v>
      </c>
      <c r="L105" s="5">
        <v>80013</v>
      </c>
      <c r="M105" s="6" t="s">
        <v>43</v>
      </c>
      <c r="N105" s="6" t="s">
        <v>457</v>
      </c>
      <c r="O105" s="6" t="s">
        <v>70</v>
      </c>
      <c r="P105" s="6" t="s">
        <v>160</v>
      </c>
      <c r="Q105" s="6" t="s">
        <v>458</v>
      </c>
      <c r="R105" s="5">
        <v>238.89599999999999</v>
      </c>
      <c r="S105" s="5">
        <v>6</v>
      </c>
      <c r="T105" s="5">
        <v>0.2</v>
      </c>
      <c r="U105" s="5">
        <v>-26.875800000000002</v>
      </c>
    </row>
    <row r="106" spans="1:21" ht="29.4" thickBot="1" x14ac:dyDescent="0.35">
      <c r="A106" s="2">
        <v>105</v>
      </c>
      <c r="B106" s="3" t="s">
        <v>452</v>
      </c>
      <c r="C106" s="4">
        <v>42321</v>
      </c>
      <c r="D106" s="4">
        <v>42325</v>
      </c>
      <c r="E106" s="3" t="s">
        <v>49</v>
      </c>
      <c r="F106" s="3" t="s">
        <v>453</v>
      </c>
      <c r="G106" s="3" t="s">
        <v>454</v>
      </c>
      <c r="H106" s="3" t="s">
        <v>25</v>
      </c>
      <c r="I106" s="3" t="s">
        <v>26</v>
      </c>
      <c r="J106" s="3" t="s">
        <v>455</v>
      </c>
      <c r="K106" s="3" t="s">
        <v>456</v>
      </c>
      <c r="L106" s="2">
        <v>80013</v>
      </c>
      <c r="M106" s="3" t="s">
        <v>43</v>
      </c>
      <c r="N106" s="3" t="s">
        <v>459</v>
      </c>
      <c r="O106" s="3" t="s">
        <v>31</v>
      </c>
      <c r="P106" s="3" t="s">
        <v>64</v>
      </c>
      <c r="Q106" s="3" t="s">
        <v>460</v>
      </c>
      <c r="R106" s="2">
        <v>102.36</v>
      </c>
      <c r="S106" s="2">
        <v>3</v>
      </c>
      <c r="T106" s="2">
        <v>0.2</v>
      </c>
      <c r="U106" s="2">
        <v>-3.8384999999999998</v>
      </c>
    </row>
    <row r="107" spans="1:21" ht="29.4" thickBot="1" x14ac:dyDescent="0.35">
      <c r="A107" s="5">
        <v>106</v>
      </c>
      <c r="B107" s="6" t="s">
        <v>452</v>
      </c>
      <c r="C107" s="7">
        <v>42321</v>
      </c>
      <c r="D107" s="7">
        <v>42325</v>
      </c>
      <c r="E107" s="6" t="s">
        <v>49</v>
      </c>
      <c r="F107" s="6" t="s">
        <v>453</v>
      </c>
      <c r="G107" s="6" t="s">
        <v>454</v>
      </c>
      <c r="H107" s="6" t="s">
        <v>25</v>
      </c>
      <c r="I107" s="6" t="s">
        <v>26</v>
      </c>
      <c r="J107" s="6" t="s">
        <v>455</v>
      </c>
      <c r="K107" s="6" t="s">
        <v>456</v>
      </c>
      <c r="L107" s="5">
        <v>80013</v>
      </c>
      <c r="M107" s="6" t="s">
        <v>43</v>
      </c>
      <c r="N107" s="6" t="s">
        <v>461</v>
      </c>
      <c r="O107" s="6" t="s">
        <v>45</v>
      </c>
      <c r="P107" s="6" t="s">
        <v>74</v>
      </c>
      <c r="Q107" s="6" t="s">
        <v>462</v>
      </c>
      <c r="R107" s="5">
        <v>36.881999999999998</v>
      </c>
      <c r="S107" s="5">
        <v>3</v>
      </c>
      <c r="T107" s="5">
        <v>0.7</v>
      </c>
      <c r="U107" s="5">
        <v>-25.817399999999999</v>
      </c>
    </row>
    <row r="108" spans="1:21" ht="29.4" thickBot="1" x14ac:dyDescent="0.35">
      <c r="A108" s="2">
        <v>107</v>
      </c>
      <c r="B108" s="3" t="s">
        <v>463</v>
      </c>
      <c r="C108" s="4">
        <v>43062</v>
      </c>
      <c r="D108" s="4">
        <v>43067</v>
      </c>
      <c r="E108" s="3" t="s">
        <v>49</v>
      </c>
      <c r="F108" s="3" t="s">
        <v>464</v>
      </c>
      <c r="G108" s="3" t="s">
        <v>465</v>
      </c>
      <c r="H108" s="3" t="s">
        <v>25</v>
      </c>
      <c r="I108" s="3" t="s">
        <v>26</v>
      </c>
      <c r="J108" s="3" t="s">
        <v>466</v>
      </c>
      <c r="K108" s="3" t="s">
        <v>87</v>
      </c>
      <c r="L108" s="2">
        <v>28205</v>
      </c>
      <c r="M108" s="3" t="s">
        <v>29</v>
      </c>
      <c r="N108" s="3" t="s">
        <v>467</v>
      </c>
      <c r="O108" s="3" t="s">
        <v>70</v>
      </c>
      <c r="P108" s="3" t="s">
        <v>160</v>
      </c>
      <c r="Q108" s="3" t="s">
        <v>468</v>
      </c>
      <c r="R108" s="2">
        <v>74.111999999999995</v>
      </c>
      <c r="S108" s="2">
        <v>8</v>
      </c>
      <c r="T108" s="2">
        <v>0.2</v>
      </c>
      <c r="U108" s="2">
        <v>17.601600000000001</v>
      </c>
    </row>
    <row r="109" spans="1:21" ht="29.4" thickBot="1" x14ac:dyDescent="0.35">
      <c r="A109" s="5">
        <v>108</v>
      </c>
      <c r="B109" s="6" t="s">
        <v>463</v>
      </c>
      <c r="C109" s="7">
        <v>43062</v>
      </c>
      <c r="D109" s="7">
        <v>43067</v>
      </c>
      <c r="E109" s="6" t="s">
        <v>49</v>
      </c>
      <c r="F109" s="6" t="s">
        <v>464</v>
      </c>
      <c r="G109" s="6" t="s">
        <v>465</v>
      </c>
      <c r="H109" s="6" t="s">
        <v>25</v>
      </c>
      <c r="I109" s="6" t="s">
        <v>26</v>
      </c>
      <c r="J109" s="6" t="s">
        <v>466</v>
      </c>
      <c r="K109" s="6" t="s">
        <v>87</v>
      </c>
      <c r="L109" s="5">
        <v>28205</v>
      </c>
      <c r="M109" s="6" t="s">
        <v>29</v>
      </c>
      <c r="N109" s="6" t="s">
        <v>469</v>
      </c>
      <c r="O109" s="6" t="s">
        <v>70</v>
      </c>
      <c r="P109" s="6" t="s">
        <v>71</v>
      </c>
      <c r="Q109" s="6" t="s">
        <v>470</v>
      </c>
      <c r="R109" s="5">
        <v>27.992000000000001</v>
      </c>
      <c r="S109" s="5">
        <v>1</v>
      </c>
      <c r="T109" s="5">
        <v>0.2</v>
      </c>
      <c r="U109" s="5">
        <v>2.0994000000000002</v>
      </c>
    </row>
    <row r="110" spans="1:21" ht="29.4" thickBot="1" x14ac:dyDescent="0.35">
      <c r="A110" s="2">
        <v>109</v>
      </c>
      <c r="B110" s="3" t="s">
        <v>463</v>
      </c>
      <c r="C110" s="4">
        <v>43062</v>
      </c>
      <c r="D110" s="4">
        <v>43067</v>
      </c>
      <c r="E110" s="3" t="s">
        <v>49</v>
      </c>
      <c r="F110" s="3" t="s">
        <v>464</v>
      </c>
      <c r="G110" s="3" t="s">
        <v>465</v>
      </c>
      <c r="H110" s="3" t="s">
        <v>25</v>
      </c>
      <c r="I110" s="3" t="s">
        <v>26</v>
      </c>
      <c r="J110" s="3" t="s">
        <v>466</v>
      </c>
      <c r="K110" s="3" t="s">
        <v>87</v>
      </c>
      <c r="L110" s="2">
        <v>28205</v>
      </c>
      <c r="M110" s="3" t="s">
        <v>29</v>
      </c>
      <c r="N110" s="3" t="s">
        <v>471</v>
      </c>
      <c r="O110" s="3" t="s">
        <v>45</v>
      </c>
      <c r="P110" s="3" t="s">
        <v>67</v>
      </c>
      <c r="Q110" s="3" t="s">
        <v>472</v>
      </c>
      <c r="R110" s="2">
        <v>3.3039999999999998</v>
      </c>
      <c r="S110" s="2">
        <v>1</v>
      </c>
      <c r="T110" s="2">
        <v>0.2</v>
      </c>
      <c r="U110" s="2">
        <v>1.0738000000000001</v>
      </c>
    </row>
    <row r="111" spans="1:21" ht="29.4" thickBot="1" x14ac:dyDescent="0.35">
      <c r="A111" s="5">
        <v>110</v>
      </c>
      <c r="B111" s="6" t="s">
        <v>473</v>
      </c>
      <c r="C111" s="7">
        <v>42292</v>
      </c>
      <c r="D111" s="7">
        <v>42297</v>
      </c>
      <c r="E111" s="6" t="s">
        <v>49</v>
      </c>
      <c r="F111" s="6" t="s">
        <v>474</v>
      </c>
      <c r="G111" s="6" t="s">
        <v>475</v>
      </c>
      <c r="H111" s="6" t="s">
        <v>101</v>
      </c>
      <c r="I111" s="6" t="s">
        <v>26</v>
      </c>
      <c r="J111" s="6" t="s">
        <v>476</v>
      </c>
      <c r="K111" s="6" t="s">
        <v>210</v>
      </c>
      <c r="L111" s="5">
        <v>60462</v>
      </c>
      <c r="M111" s="6" t="s">
        <v>104</v>
      </c>
      <c r="N111" s="6" t="s">
        <v>477</v>
      </c>
      <c r="O111" s="6" t="s">
        <v>70</v>
      </c>
      <c r="P111" s="6" t="s">
        <v>160</v>
      </c>
      <c r="Q111" s="6" t="s">
        <v>478</v>
      </c>
      <c r="R111" s="5">
        <v>339.96</v>
      </c>
      <c r="S111" s="5">
        <v>5</v>
      </c>
      <c r="T111" s="5">
        <v>0.2</v>
      </c>
      <c r="U111" s="5">
        <v>67.992000000000004</v>
      </c>
    </row>
    <row r="112" spans="1:21" ht="29.4" thickBot="1" x14ac:dyDescent="0.35">
      <c r="A112" s="2">
        <v>111</v>
      </c>
      <c r="B112" s="3" t="s">
        <v>479</v>
      </c>
      <c r="C112" s="4">
        <v>43094</v>
      </c>
      <c r="D112" s="4">
        <v>43099</v>
      </c>
      <c r="E112" s="3" t="s">
        <v>49</v>
      </c>
      <c r="F112" s="3" t="s">
        <v>480</v>
      </c>
      <c r="G112" s="3" t="s">
        <v>481</v>
      </c>
      <c r="H112" s="3" t="s">
        <v>40</v>
      </c>
      <c r="I112" s="3" t="s">
        <v>26</v>
      </c>
      <c r="J112" s="3" t="s">
        <v>265</v>
      </c>
      <c r="K112" s="3" t="s">
        <v>266</v>
      </c>
      <c r="L112" s="2">
        <v>10035</v>
      </c>
      <c r="M112" s="3" t="s">
        <v>147</v>
      </c>
      <c r="N112" s="3" t="s">
        <v>482</v>
      </c>
      <c r="O112" s="3" t="s">
        <v>31</v>
      </c>
      <c r="P112" s="3" t="s">
        <v>64</v>
      </c>
      <c r="Q112" s="3" t="s">
        <v>483</v>
      </c>
      <c r="R112" s="2">
        <v>41.96</v>
      </c>
      <c r="S112" s="2">
        <v>2</v>
      </c>
      <c r="T112" s="2">
        <v>0</v>
      </c>
      <c r="U112" s="2">
        <v>10.909599999999999</v>
      </c>
    </row>
    <row r="113" spans="1:21" ht="29.4" thickBot="1" x14ac:dyDescent="0.35">
      <c r="A113" s="5">
        <v>112</v>
      </c>
      <c r="B113" s="6" t="s">
        <v>484</v>
      </c>
      <c r="C113" s="7">
        <v>42677</v>
      </c>
      <c r="D113" s="7">
        <v>42684</v>
      </c>
      <c r="E113" s="6" t="s">
        <v>49</v>
      </c>
      <c r="F113" s="6" t="s">
        <v>485</v>
      </c>
      <c r="G113" s="6" t="s">
        <v>486</v>
      </c>
      <c r="H113" s="6" t="s">
        <v>25</v>
      </c>
      <c r="I113" s="6" t="s">
        <v>26</v>
      </c>
      <c r="J113" s="6" t="s">
        <v>487</v>
      </c>
      <c r="K113" s="6" t="s">
        <v>488</v>
      </c>
      <c r="L113" s="5">
        <v>50322</v>
      </c>
      <c r="M113" s="6" t="s">
        <v>104</v>
      </c>
      <c r="N113" s="6" t="s">
        <v>489</v>
      </c>
      <c r="O113" s="6" t="s">
        <v>45</v>
      </c>
      <c r="P113" s="6" t="s">
        <v>67</v>
      </c>
      <c r="Q113" s="6" t="s">
        <v>490</v>
      </c>
      <c r="R113" s="5">
        <v>75.959999999999994</v>
      </c>
      <c r="S113" s="5">
        <v>2</v>
      </c>
      <c r="T113" s="5">
        <v>0</v>
      </c>
      <c r="U113" s="5">
        <v>22.788</v>
      </c>
    </row>
    <row r="114" spans="1:21" ht="29.4" thickBot="1" x14ac:dyDescent="0.35">
      <c r="A114" s="2">
        <v>113</v>
      </c>
      <c r="B114" s="3" t="s">
        <v>484</v>
      </c>
      <c r="C114" s="4">
        <v>42677</v>
      </c>
      <c r="D114" s="4">
        <v>42684</v>
      </c>
      <c r="E114" s="3" t="s">
        <v>49</v>
      </c>
      <c r="F114" s="3" t="s">
        <v>485</v>
      </c>
      <c r="G114" s="3" t="s">
        <v>486</v>
      </c>
      <c r="H114" s="3" t="s">
        <v>25</v>
      </c>
      <c r="I114" s="3" t="s">
        <v>26</v>
      </c>
      <c r="J114" s="3" t="s">
        <v>487</v>
      </c>
      <c r="K114" s="3" t="s">
        <v>488</v>
      </c>
      <c r="L114" s="2">
        <v>50322</v>
      </c>
      <c r="M114" s="3" t="s">
        <v>104</v>
      </c>
      <c r="N114" s="3" t="s">
        <v>491</v>
      </c>
      <c r="O114" s="3" t="s">
        <v>45</v>
      </c>
      <c r="P114" s="3" t="s">
        <v>74</v>
      </c>
      <c r="Q114" s="3" t="s">
        <v>492</v>
      </c>
      <c r="R114" s="2">
        <v>27.24</v>
      </c>
      <c r="S114" s="2">
        <v>6</v>
      </c>
      <c r="T114" s="2">
        <v>0</v>
      </c>
      <c r="U114" s="2">
        <v>13.3476</v>
      </c>
    </row>
    <row r="115" spans="1:21" ht="29.4" thickBot="1" x14ac:dyDescent="0.35">
      <c r="A115" s="5">
        <v>114</v>
      </c>
      <c r="B115" s="6" t="s">
        <v>493</v>
      </c>
      <c r="C115" s="7">
        <v>41876</v>
      </c>
      <c r="D115" s="7">
        <v>41878</v>
      </c>
      <c r="E115" s="6" t="s">
        <v>22</v>
      </c>
      <c r="F115" s="6" t="s">
        <v>494</v>
      </c>
      <c r="G115" s="6" t="s">
        <v>495</v>
      </c>
      <c r="H115" s="6" t="s">
        <v>25</v>
      </c>
      <c r="I115" s="6" t="s">
        <v>26</v>
      </c>
      <c r="J115" s="6" t="s">
        <v>496</v>
      </c>
      <c r="K115" s="6" t="s">
        <v>497</v>
      </c>
      <c r="L115" s="5">
        <v>43229</v>
      </c>
      <c r="M115" s="6" t="s">
        <v>147</v>
      </c>
      <c r="N115" s="6" t="s">
        <v>498</v>
      </c>
      <c r="O115" s="6" t="s">
        <v>45</v>
      </c>
      <c r="P115" s="6" t="s">
        <v>268</v>
      </c>
      <c r="Q115" s="6" t="s">
        <v>499</v>
      </c>
      <c r="R115" s="5">
        <v>40.095999999999997</v>
      </c>
      <c r="S115" s="5">
        <v>14</v>
      </c>
      <c r="T115" s="5">
        <v>0.2</v>
      </c>
      <c r="U115" s="5">
        <v>14.534800000000001</v>
      </c>
    </row>
    <row r="116" spans="1:21" ht="29.4" thickBot="1" x14ac:dyDescent="0.35">
      <c r="A116" s="2">
        <v>115</v>
      </c>
      <c r="B116" s="3" t="s">
        <v>493</v>
      </c>
      <c r="C116" s="4">
        <v>41876</v>
      </c>
      <c r="D116" s="4">
        <v>41878</v>
      </c>
      <c r="E116" s="3" t="s">
        <v>22</v>
      </c>
      <c r="F116" s="3" t="s">
        <v>494</v>
      </c>
      <c r="G116" s="3" t="s">
        <v>495</v>
      </c>
      <c r="H116" s="3" t="s">
        <v>25</v>
      </c>
      <c r="I116" s="3" t="s">
        <v>26</v>
      </c>
      <c r="J116" s="3" t="s">
        <v>496</v>
      </c>
      <c r="K116" s="3" t="s">
        <v>497</v>
      </c>
      <c r="L116" s="2">
        <v>43229</v>
      </c>
      <c r="M116" s="3" t="s">
        <v>147</v>
      </c>
      <c r="N116" s="3" t="s">
        <v>500</v>
      </c>
      <c r="O116" s="3" t="s">
        <v>45</v>
      </c>
      <c r="P116" s="3" t="s">
        <v>172</v>
      </c>
      <c r="Q116" s="3" t="s">
        <v>501</v>
      </c>
      <c r="R116" s="2">
        <v>4.72</v>
      </c>
      <c r="S116" s="2">
        <v>2</v>
      </c>
      <c r="T116" s="2">
        <v>0.2</v>
      </c>
      <c r="U116" s="2">
        <v>1.6519999999999999</v>
      </c>
    </row>
    <row r="117" spans="1:21" ht="29.4" thickBot="1" x14ac:dyDescent="0.35">
      <c r="A117" s="5">
        <v>116</v>
      </c>
      <c r="B117" s="6" t="s">
        <v>493</v>
      </c>
      <c r="C117" s="7">
        <v>41876</v>
      </c>
      <c r="D117" s="7">
        <v>41878</v>
      </c>
      <c r="E117" s="6" t="s">
        <v>22</v>
      </c>
      <c r="F117" s="6" t="s">
        <v>494</v>
      </c>
      <c r="G117" s="6" t="s">
        <v>495</v>
      </c>
      <c r="H117" s="6" t="s">
        <v>25</v>
      </c>
      <c r="I117" s="6" t="s">
        <v>26</v>
      </c>
      <c r="J117" s="6" t="s">
        <v>496</v>
      </c>
      <c r="K117" s="6" t="s">
        <v>497</v>
      </c>
      <c r="L117" s="5">
        <v>43229</v>
      </c>
      <c r="M117" s="6" t="s">
        <v>147</v>
      </c>
      <c r="N117" s="6" t="s">
        <v>502</v>
      </c>
      <c r="O117" s="6" t="s">
        <v>45</v>
      </c>
      <c r="P117" s="6" t="s">
        <v>89</v>
      </c>
      <c r="Q117" s="6" t="s">
        <v>503</v>
      </c>
      <c r="R117" s="5">
        <v>23.975999999999999</v>
      </c>
      <c r="S117" s="5">
        <v>3</v>
      </c>
      <c r="T117" s="5">
        <v>0.2</v>
      </c>
      <c r="U117" s="5">
        <v>7.4924999999999997</v>
      </c>
    </row>
    <row r="118" spans="1:21" ht="29.4" thickBot="1" x14ac:dyDescent="0.35">
      <c r="A118" s="2">
        <v>117</v>
      </c>
      <c r="B118" s="3" t="s">
        <v>493</v>
      </c>
      <c r="C118" s="4">
        <v>41876</v>
      </c>
      <c r="D118" s="4">
        <v>41878</v>
      </c>
      <c r="E118" s="3" t="s">
        <v>22</v>
      </c>
      <c r="F118" s="3" t="s">
        <v>494</v>
      </c>
      <c r="G118" s="3" t="s">
        <v>495</v>
      </c>
      <c r="H118" s="3" t="s">
        <v>25</v>
      </c>
      <c r="I118" s="3" t="s">
        <v>26</v>
      </c>
      <c r="J118" s="3" t="s">
        <v>496</v>
      </c>
      <c r="K118" s="3" t="s">
        <v>497</v>
      </c>
      <c r="L118" s="2">
        <v>43229</v>
      </c>
      <c r="M118" s="3" t="s">
        <v>147</v>
      </c>
      <c r="N118" s="3" t="s">
        <v>504</v>
      </c>
      <c r="O118" s="3" t="s">
        <v>45</v>
      </c>
      <c r="P118" s="3" t="s">
        <v>172</v>
      </c>
      <c r="Q118" s="3" t="s">
        <v>505</v>
      </c>
      <c r="R118" s="2">
        <v>130.464</v>
      </c>
      <c r="S118" s="2">
        <v>6</v>
      </c>
      <c r="T118" s="2">
        <v>0.2</v>
      </c>
      <c r="U118" s="2">
        <v>44.031599999999997</v>
      </c>
    </row>
    <row r="119" spans="1:21" ht="29.4" thickBot="1" x14ac:dyDescent="0.35">
      <c r="A119" s="5">
        <v>118</v>
      </c>
      <c r="B119" s="6" t="s">
        <v>506</v>
      </c>
      <c r="C119" s="7">
        <v>42065</v>
      </c>
      <c r="D119" s="7">
        <v>42069</v>
      </c>
      <c r="E119" s="6" t="s">
        <v>49</v>
      </c>
      <c r="F119" s="6" t="s">
        <v>507</v>
      </c>
      <c r="G119" s="6" t="s">
        <v>508</v>
      </c>
      <c r="H119" s="6" t="s">
        <v>25</v>
      </c>
      <c r="I119" s="6" t="s">
        <v>26</v>
      </c>
      <c r="J119" s="6" t="s">
        <v>94</v>
      </c>
      <c r="K119" s="6" t="s">
        <v>95</v>
      </c>
      <c r="L119" s="5">
        <v>98103</v>
      </c>
      <c r="M119" s="6" t="s">
        <v>43</v>
      </c>
      <c r="N119" s="6" t="s">
        <v>509</v>
      </c>
      <c r="O119" s="6" t="s">
        <v>31</v>
      </c>
      <c r="P119" s="6" t="s">
        <v>55</v>
      </c>
      <c r="Q119" s="6" t="s">
        <v>510</v>
      </c>
      <c r="R119" s="5">
        <v>787.53</v>
      </c>
      <c r="S119" s="5">
        <v>3</v>
      </c>
      <c r="T119" s="5">
        <v>0</v>
      </c>
      <c r="U119" s="5">
        <v>165.38130000000001</v>
      </c>
    </row>
    <row r="120" spans="1:21" ht="29.4" thickBot="1" x14ac:dyDescent="0.35">
      <c r="A120" s="2">
        <v>119</v>
      </c>
      <c r="B120" s="3" t="s">
        <v>511</v>
      </c>
      <c r="C120" s="4">
        <v>42099</v>
      </c>
      <c r="D120" s="4">
        <v>42104</v>
      </c>
      <c r="E120" s="3" t="s">
        <v>49</v>
      </c>
      <c r="F120" s="3" t="s">
        <v>512</v>
      </c>
      <c r="G120" s="3" t="s">
        <v>513</v>
      </c>
      <c r="H120" s="3" t="s">
        <v>40</v>
      </c>
      <c r="I120" s="3" t="s">
        <v>26</v>
      </c>
      <c r="J120" s="3" t="s">
        <v>514</v>
      </c>
      <c r="K120" s="3" t="s">
        <v>334</v>
      </c>
      <c r="L120" s="2">
        <v>37620</v>
      </c>
      <c r="M120" s="3" t="s">
        <v>29</v>
      </c>
      <c r="N120" s="3" t="s">
        <v>515</v>
      </c>
      <c r="O120" s="3" t="s">
        <v>45</v>
      </c>
      <c r="P120" s="3" t="s">
        <v>74</v>
      </c>
      <c r="Q120" s="3" t="s">
        <v>516</v>
      </c>
      <c r="R120" s="2">
        <v>157.79400000000001</v>
      </c>
      <c r="S120" s="2">
        <v>1</v>
      </c>
      <c r="T120" s="2">
        <v>0.7</v>
      </c>
      <c r="U120" s="2">
        <v>-115.71559999999999</v>
      </c>
    </row>
    <row r="121" spans="1:21" ht="29.4" thickBot="1" x14ac:dyDescent="0.35">
      <c r="A121" s="5">
        <v>120</v>
      </c>
      <c r="B121" s="6" t="s">
        <v>517</v>
      </c>
      <c r="C121" s="7">
        <v>42533</v>
      </c>
      <c r="D121" s="7">
        <v>42536</v>
      </c>
      <c r="E121" s="6" t="s">
        <v>187</v>
      </c>
      <c r="F121" s="6" t="s">
        <v>518</v>
      </c>
      <c r="G121" s="6" t="s">
        <v>519</v>
      </c>
      <c r="H121" s="6" t="s">
        <v>25</v>
      </c>
      <c r="I121" s="6" t="s">
        <v>26</v>
      </c>
      <c r="J121" s="6" t="s">
        <v>520</v>
      </c>
      <c r="K121" s="6" t="s">
        <v>244</v>
      </c>
      <c r="L121" s="5">
        <v>19805</v>
      </c>
      <c r="M121" s="6" t="s">
        <v>147</v>
      </c>
      <c r="N121" s="6" t="s">
        <v>521</v>
      </c>
      <c r="O121" s="6" t="s">
        <v>31</v>
      </c>
      <c r="P121" s="6" t="s">
        <v>64</v>
      </c>
      <c r="Q121" s="6" t="s">
        <v>522</v>
      </c>
      <c r="R121" s="5">
        <v>47.04</v>
      </c>
      <c r="S121" s="5">
        <v>3</v>
      </c>
      <c r="T121" s="5">
        <v>0</v>
      </c>
      <c r="U121" s="5">
        <v>18.345600000000001</v>
      </c>
    </row>
    <row r="122" spans="1:21" ht="29.4" thickBot="1" x14ac:dyDescent="0.35">
      <c r="A122" s="2">
        <v>121</v>
      </c>
      <c r="B122" s="3" t="s">
        <v>517</v>
      </c>
      <c r="C122" s="4">
        <v>42533</v>
      </c>
      <c r="D122" s="4">
        <v>42536</v>
      </c>
      <c r="E122" s="3" t="s">
        <v>187</v>
      </c>
      <c r="F122" s="3" t="s">
        <v>518</v>
      </c>
      <c r="G122" s="3" t="s">
        <v>519</v>
      </c>
      <c r="H122" s="3" t="s">
        <v>25</v>
      </c>
      <c r="I122" s="3" t="s">
        <v>26</v>
      </c>
      <c r="J122" s="3" t="s">
        <v>520</v>
      </c>
      <c r="K122" s="3" t="s">
        <v>244</v>
      </c>
      <c r="L122" s="2">
        <v>19805</v>
      </c>
      <c r="M122" s="3" t="s">
        <v>147</v>
      </c>
      <c r="N122" s="3" t="s">
        <v>73</v>
      </c>
      <c r="O122" s="3" t="s">
        <v>45</v>
      </c>
      <c r="P122" s="3" t="s">
        <v>74</v>
      </c>
      <c r="Q122" s="3" t="s">
        <v>75</v>
      </c>
      <c r="R122" s="2">
        <v>30.84</v>
      </c>
      <c r="S122" s="2">
        <v>4</v>
      </c>
      <c r="T122" s="2">
        <v>0</v>
      </c>
      <c r="U122" s="2">
        <v>13.878</v>
      </c>
    </row>
    <row r="123" spans="1:21" ht="29.4" thickBot="1" x14ac:dyDescent="0.35">
      <c r="A123" s="5">
        <v>122</v>
      </c>
      <c r="B123" s="6" t="s">
        <v>517</v>
      </c>
      <c r="C123" s="7">
        <v>42533</v>
      </c>
      <c r="D123" s="7">
        <v>42536</v>
      </c>
      <c r="E123" s="6" t="s">
        <v>187</v>
      </c>
      <c r="F123" s="6" t="s">
        <v>518</v>
      </c>
      <c r="G123" s="6" t="s">
        <v>519</v>
      </c>
      <c r="H123" s="6" t="s">
        <v>25</v>
      </c>
      <c r="I123" s="6" t="s">
        <v>26</v>
      </c>
      <c r="J123" s="6" t="s">
        <v>520</v>
      </c>
      <c r="K123" s="6" t="s">
        <v>244</v>
      </c>
      <c r="L123" s="5">
        <v>19805</v>
      </c>
      <c r="M123" s="6" t="s">
        <v>147</v>
      </c>
      <c r="N123" s="6" t="s">
        <v>523</v>
      </c>
      <c r="O123" s="6" t="s">
        <v>45</v>
      </c>
      <c r="P123" s="6" t="s">
        <v>58</v>
      </c>
      <c r="Q123" s="6" t="s">
        <v>524</v>
      </c>
      <c r="R123" s="5">
        <v>226.56</v>
      </c>
      <c r="S123" s="5">
        <v>6</v>
      </c>
      <c r="T123" s="5">
        <v>0</v>
      </c>
      <c r="U123" s="5">
        <v>63.436799999999998</v>
      </c>
    </row>
    <row r="124" spans="1:21" ht="29.4" thickBot="1" x14ac:dyDescent="0.35">
      <c r="A124" s="2">
        <v>123</v>
      </c>
      <c r="B124" s="3" t="s">
        <v>517</v>
      </c>
      <c r="C124" s="4">
        <v>42533</v>
      </c>
      <c r="D124" s="4">
        <v>42536</v>
      </c>
      <c r="E124" s="3" t="s">
        <v>187</v>
      </c>
      <c r="F124" s="3" t="s">
        <v>518</v>
      </c>
      <c r="G124" s="3" t="s">
        <v>519</v>
      </c>
      <c r="H124" s="3" t="s">
        <v>25</v>
      </c>
      <c r="I124" s="3" t="s">
        <v>26</v>
      </c>
      <c r="J124" s="3" t="s">
        <v>520</v>
      </c>
      <c r="K124" s="3" t="s">
        <v>244</v>
      </c>
      <c r="L124" s="2">
        <v>19805</v>
      </c>
      <c r="M124" s="3" t="s">
        <v>147</v>
      </c>
      <c r="N124" s="3" t="s">
        <v>525</v>
      </c>
      <c r="O124" s="3" t="s">
        <v>45</v>
      </c>
      <c r="P124" s="3" t="s">
        <v>172</v>
      </c>
      <c r="Q124" s="3" t="s">
        <v>526</v>
      </c>
      <c r="R124" s="2">
        <v>115.02</v>
      </c>
      <c r="S124" s="2">
        <v>9</v>
      </c>
      <c r="T124" s="2">
        <v>0</v>
      </c>
      <c r="U124" s="2">
        <v>51.759</v>
      </c>
    </row>
    <row r="125" spans="1:21" ht="29.4" thickBot="1" x14ac:dyDescent="0.35">
      <c r="A125" s="5">
        <v>124</v>
      </c>
      <c r="B125" s="6" t="s">
        <v>517</v>
      </c>
      <c r="C125" s="7">
        <v>42533</v>
      </c>
      <c r="D125" s="7">
        <v>42536</v>
      </c>
      <c r="E125" s="6" t="s">
        <v>187</v>
      </c>
      <c r="F125" s="6" t="s">
        <v>518</v>
      </c>
      <c r="G125" s="6" t="s">
        <v>519</v>
      </c>
      <c r="H125" s="6" t="s">
        <v>25</v>
      </c>
      <c r="I125" s="6" t="s">
        <v>26</v>
      </c>
      <c r="J125" s="6" t="s">
        <v>520</v>
      </c>
      <c r="K125" s="6" t="s">
        <v>244</v>
      </c>
      <c r="L125" s="5">
        <v>19805</v>
      </c>
      <c r="M125" s="6" t="s">
        <v>147</v>
      </c>
      <c r="N125" s="6" t="s">
        <v>527</v>
      </c>
      <c r="O125" s="6" t="s">
        <v>70</v>
      </c>
      <c r="P125" s="6" t="s">
        <v>71</v>
      </c>
      <c r="Q125" s="6" t="s">
        <v>528</v>
      </c>
      <c r="R125" s="5">
        <v>68.040000000000006</v>
      </c>
      <c r="S125" s="5">
        <v>7</v>
      </c>
      <c r="T125" s="5">
        <v>0</v>
      </c>
      <c r="U125" s="5">
        <v>19.7316</v>
      </c>
    </row>
    <row r="126" spans="1:21" ht="29.4" thickBot="1" x14ac:dyDescent="0.35">
      <c r="A126" s="2">
        <v>125</v>
      </c>
      <c r="B126" s="3" t="s">
        <v>529</v>
      </c>
      <c r="C126" s="4">
        <v>41999</v>
      </c>
      <c r="D126" s="4">
        <v>42001</v>
      </c>
      <c r="E126" s="3" t="s">
        <v>22</v>
      </c>
      <c r="F126" s="3" t="s">
        <v>530</v>
      </c>
      <c r="G126" s="3" t="s">
        <v>531</v>
      </c>
      <c r="H126" s="3" t="s">
        <v>101</v>
      </c>
      <c r="I126" s="3" t="s">
        <v>26</v>
      </c>
      <c r="J126" s="3" t="s">
        <v>183</v>
      </c>
      <c r="K126" s="3" t="s">
        <v>103</v>
      </c>
      <c r="L126" s="2">
        <v>77041</v>
      </c>
      <c r="M126" s="3" t="s">
        <v>104</v>
      </c>
      <c r="N126" s="3" t="s">
        <v>532</v>
      </c>
      <c r="O126" s="3" t="s">
        <v>31</v>
      </c>
      <c r="P126" s="3" t="s">
        <v>35</v>
      </c>
      <c r="Q126" s="3" t="s">
        <v>533</v>
      </c>
      <c r="R126" s="2">
        <v>600.55799999999999</v>
      </c>
      <c r="S126" s="2">
        <v>3</v>
      </c>
      <c r="T126" s="2">
        <v>0.3</v>
      </c>
      <c r="U126" s="2">
        <v>-8.5793999999999997</v>
      </c>
    </row>
    <row r="127" spans="1:21" ht="29.4" thickBot="1" x14ac:dyDescent="0.35">
      <c r="A127" s="5">
        <v>126</v>
      </c>
      <c r="B127" s="6" t="s">
        <v>534</v>
      </c>
      <c r="C127" s="7">
        <v>41902</v>
      </c>
      <c r="D127" s="7">
        <v>41907</v>
      </c>
      <c r="E127" s="6" t="s">
        <v>49</v>
      </c>
      <c r="F127" s="6" t="s">
        <v>535</v>
      </c>
      <c r="G127" s="6" t="s">
        <v>536</v>
      </c>
      <c r="H127" s="6" t="s">
        <v>25</v>
      </c>
      <c r="I127" s="6" t="s">
        <v>26</v>
      </c>
      <c r="J127" s="6" t="s">
        <v>537</v>
      </c>
      <c r="K127" s="6" t="s">
        <v>210</v>
      </c>
      <c r="L127" s="5">
        <v>61701</v>
      </c>
      <c r="M127" s="6" t="s">
        <v>104</v>
      </c>
      <c r="N127" s="6" t="s">
        <v>538</v>
      </c>
      <c r="O127" s="6" t="s">
        <v>31</v>
      </c>
      <c r="P127" s="6" t="s">
        <v>55</v>
      </c>
      <c r="Q127" s="6" t="s">
        <v>539</v>
      </c>
      <c r="R127" s="5">
        <v>617.70000000000005</v>
      </c>
      <c r="S127" s="5">
        <v>6</v>
      </c>
      <c r="T127" s="5">
        <v>0.5</v>
      </c>
      <c r="U127" s="5">
        <v>-407.68200000000002</v>
      </c>
    </row>
    <row r="128" spans="1:21" ht="29.4" thickBot="1" x14ac:dyDescent="0.35">
      <c r="A128" s="2">
        <v>127</v>
      </c>
      <c r="B128" s="3" t="s">
        <v>540</v>
      </c>
      <c r="C128" s="4">
        <v>43044</v>
      </c>
      <c r="D128" s="4">
        <v>43051</v>
      </c>
      <c r="E128" s="3" t="s">
        <v>49</v>
      </c>
      <c r="F128" s="3" t="s">
        <v>541</v>
      </c>
      <c r="G128" s="3" t="s">
        <v>542</v>
      </c>
      <c r="H128" s="3" t="s">
        <v>25</v>
      </c>
      <c r="I128" s="3" t="s">
        <v>26</v>
      </c>
      <c r="J128" s="3" t="s">
        <v>543</v>
      </c>
      <c r="K128" s="3" t="s">
        <v>309</v>
      </c>
      <c r="L128" s="2">
        <v>85023</v>
      </c>
      <c r="M128" s="3" t="s">
        <v>43</v>
      </c>
      <c r="N128" s="3" t="s">
        <v>544</v>
      </c>
      <c r="O128" s="3" t="s">
        <v>45</v>
      </c>
      <c r="P128" s="3" t="s">
        <v>74</v>
      </c>
      <c r="Q128" s="3" t="s">
        <v>545</v>
      </c>
      <c r="R128" s="2">
        <v>2.3879999999999999</v>
      </c>
      <c r="S128" s="2">
        <v>2</v>
      </c>
      <c r="T128" s="2">
        <v>0.7</v>
      </c>
      <c r="U128" s="2">
        <v>-1.8308</v>
      </c>
    </row>
    <row r="129" spans="1:21" ht="29.4" thickBot="1" x14ac:dyDescent="0.35">
      <c r="A129" s="5">
        <v>128</v>
      </c>
      <c r="B129" s="6" t="s">
        <v>540</v>
      </c>
      <c r="C129" s="7">
        <v>43044</v>
      </c>
      <c r="D129" s="7">
        <v>43051</v>
      </c>
      <c r="E129" s="6" t="s">
        <v>49</v>
      </c>
      <c r="F129" s="6" t="s">
        <v>541</v>
      </c>
      <c r="G129" s="6" t="s">
        <v>542</v>
      </c>
      <c r="H129" s="6" t="s">
        <v>25</v>
      </c>
      <c r="I129" s="6" t="s">
        <v>26</v>
      </c>
      <c r="J129" s="6" t="s">
        <v>543</v>
      </c>
      <c r="K129" s="6" t="s">
        <v>309</v>
      </c>
      <c r="L129" s="5">
        <v>85023</v>
      </c>
      <c r="M129" s="6" t="s">
        <v>43</v>
      </c>
      <c r="N129" s="6" t="s">
        <v>546</v>
      </c>
      <c r="O129" s="6" t="s">
        <v>45</v>
      </c>
      <c r="P129" s="6" t="s">
        <v>58</v>
      </c>
      <c r="Q129" s="6" t="s">
        <v>547</v>
      </c>
      <c r="R129" s="5">
        <v>243.99199999999999</v>
      </c>
      <c r="S129" s="5">
        <v>7</v>
      </c>
      <c r="T129" s="5">
        <v>0.2</v>
      </c>
      <c r="U129" s="5">
        <v>30.498999999999999</v>
      </c>
    </row>
    <row r="130" spans="1:21" ht="29.4" thickBot="1" x14ac:dyDescent="0.35">
      <c r="A130" s="2">
        <v>129</v>
      </c>
      <c r="B130" s="3" t="s">
        <v>548</v>
      </c>
      <c r="C130" s="4">
        <v>42680</v>
      </c>
      <c r="D130" s="4">
        <v>42684</v>
      </c>
      <c r="E130" s="3" t="s">
        <v>22</v>
      </c>
      <c r="F130" s="3" t="s">
        <v>549</v>
      </c>
      <c r="G130" s="3" t="s">
        <v>550</v>
      </c>
      <c r="H130" s="3" t="s">
        <v>101</v>
      </c>
      <c r="I130" s="3" t="s">
        <v>26</v>
      </c>
      <c r="J130" s="3" t="s">
        <v>41</v>
      </c>
      <c r="K130" s="3" t="s">
        <v>42</v>
      </c>
      <c r="L130" s="2">
        <v>90004</v>
      </c>
      <c r="M130" s="3" t="s">
        <v>43</v>
      </c>
      <c r="N130" s="3" t="s">
        <v>303</v>
      </c>
      <c r="O130" s="3" t="s">
        <v>31</v>
      </c>
      <c r="P130" s="3" t="s">
        <v>35</v>
      </c>
      <c r="Q130" s="3" t="s">
        <v>551</v>
      </c>
      <c r="R130" s="2">
        <v>81.424000000000007</v>
      </c>
      <c r="S130" s="2">
        <v>2</v>
      </c>
      <c r="T130" s="2">
        <v>0.2</v>
      </c>
      <c r="U130" s="2">
        <v>-9.1601999999999997</v>
      </c>
    </row>
    <row r="131" spans="1:21" ht="29.4" thickBot="1" x14ac:dyDescent="0.35">
      <c r="A131" s="5">
        <v>130</v>
      </c>
      <c r="B131" s="6" t="s">
        <v>548</v>
      </c>
      <c r="C131" s="7">
        <v>42680</v>
      </c>
      <c r="D131" s="7">
        <v>42684</v>
      </c>
      <c r="E131" s="6" t="s">
        <v>22</v>
      </c>
      <c r="F131" s="6" t="s">
        <v>549</v>
      </c>
      <c r="G131" s="6" t="s">
        <v>550</v>
      </c>
      <c r="H131" s="6" t="s">
        <v>101</v>
      </c>
      <c r="I131" s="6" t="s">
        <v>26</v>
      </c>
      <c r="J131" s="6" t="s">
        <v>41</v>
      </c>
      <c r="K131" s="6" t="s">
        <v>42</v>
      </c>
      <c r="L131" s="5">
        <v>90004</v>
      </c>
      <c r="M131" s="6" t="s">
        <v>43</v>
      </c>
      <c r="N131" s="6" t="s">
        <v>552</v>
      </c>
      <c r="O131" s="6" t="s">
        <v>31</v>
      </c>
      <c r="P131" s="6" t="s">
        <v>64</v>
      </c>
      <c r="Q131" s="6" t="s">
        <v>553</v>
      </c>
      <c r="R131" s="5">
        <v>238.56</v>
      </c>
      <c r="S131" s="5">
        <v>3</v>
      </c>
      <c r="T131" s="5">
        <v>0</v>
      </c>
      <c r="U131" s="5">
        <v>26.241599999999998</v>
      </c>
    </row>
    <row r="132" spans="1:21" ht="29.4" thickBot="1" x14ac:dyDescent="0.35">
      <c r="A132" s="2">
        <v>131</v>
      </c>
      <c r="B132" s="3" t="s">
        <v>554</v>
      </c>
      <c r="C132" s="4">
        <v>42768</v>
      </c>
      <c r="D132" s="4">
        <v>42771</v>
      </c>
      <c r="E132" s="3" t="s">
        <v>187</v>
      </c>
      <c r="F132" s="3" t="s">
        <v>555</v>
      </c>
      <c r="G132" s="3" t="s">
        <v>556</v>
      </c>
      <c r="H132" s="3" t="s">
        <v>40</v>
      </c>
      <c r="I132" s="3" t="s">
        <v>26</v>
      </c>
      <c r="J132" s="3" t="s">
        <v>496</v>
      </c>
      <c r="K132" s="3" t="s">
        <v>497</v>
      </c>
      <c r="L132" s="2">
        <v>43229</v>
      </c>
      <c r="M132" s="3" t="s">
        <v>147</v>
      </c>
      <c r="N132" s="3" t="s">
        <v>557</v>
      </c>
      <c r="O132" s="3" t="s">
        <v>70</v>
      </c>
      <c r="P132" s="3" t="s">
        <v>71</v>
      </c>
      <c r="Q132" s="3" t="s">
        <v>558</v>
      </c>
      <c r="R132" s="2">
        <v>59.97</v>
      </c>
      <c r="S132" s="2">
        <v>5</v>
      </c>
      <c r="T132" s="2">
        <v>0.4</v>
      </c>
      <c r="U132" s="2">
        <v>-11.994</v>
      </c>
    </row>
    <row r="133" spans="1:21" ht="29.4" thickBot="1" x14ac:dyDescent="0.35">
      <c r="A133" s="5">
        <v>132</v>
      </c>
      <c r="B133" s="6" t="s">
        <v>554</v>
      </c>
      <c r="C133" s="7">
        <v>42768</v>
      </c>
      <c r="D133" s="7">
        <v>42771</v>
      </c>
      <c r="E133" s="6" t="s">
        <v>187</v>
      </c>
      <c r="F133" s="6" t="s">
        <v>555</v>
      </c>
      <c r="G133" s="6" t="s">
        <v>556</v>
      </c>
      <c r="H133" s="6" t="s">
        <v>40</v>
      </c>
      <c r="I133" s="6" t="s">
        <v>26</v>
      </c>
      <c r="J133" s="6" t="s">
        <v>496</v>
      </c>
      <c r="K133" s="6" t="s">
        <v>497</v>
      </c>
      <c r="L133" s="5">
        <v>43229</v>
      </c>
      <c r="M133" s="6" t="s">
        <v>147</v>
      </c>
      <c r="N133" s="6" t="s">
        <v>559</v>
      </c>
      <c r="O133" s="6" t="s">
        <v>45</v>
      </c>
      <c r="P133" s="6" t="s">
        <v>89</v>
      </c>
      <c r="Q133" s="6" t="s">
        <v>560</v>
      </c>
      <c r="R133" s="5">
        <v>78.304000000000002</v>
      </c>
      <c r="S133" s="5">
        <v>2</v>
      </c>
      <c r="T133" s="5">
        <v>0.2</v>
      </c>
      <c r="U133" s="5">
        <v>29.364000000000001</v>
      </c>
    </row>
    <row r="134" spans="1:21" ht="29.4" thickBot="1" x14ac:dyDescent="0.35">
      <c r="A134" s="2">
        <v>133</v>
      </c>
      <c r="B134" s="3" t="s">
        <v>554</v>
      </c>
      <c r="C134" s="4">
        <v>42768</v>
      </c>
      <c r="D134" s="4">
        <v>42771</v>
      </c>
      <c r="E134" s="3" t="s">
        <v>187</v>
      </c>
      <c r="F134" s="3" t="s">
        <v>555</v>
      </c>
      <c r="G134" s="3" t="s">
        <v>556</v>
      </c>
      <c r="H134" s="3" t="s">
        <v>40</v>
      </c>
      <c r="I134" s="3" t="s">
        <v>26</v>
      </c>
      <c r="J134" s="3" t="s">
        <v>496</v>
      </c>
      <c r="K134" s="3" t="s">
        <v>497</v>
      </c>
      <c r="L134" s="2">
        <v>43229</v>
      </c>
      <c r="M134" s="3" t="s">
        <v>147</v>
      </c>
      <c r="N134" s="3" t="s">
        <v>561</v>
      </c>
      <c r="O134" s="3" t="s">
        <v>45</v>
      </c>
      <c r="P134" s="3" t="s">
        <v>268</v>
      </c>
      <c r="Q134" s="3" t="s">
        <v>562</v>
      </c>
      <c r="R134" s="2">
        <v>21.456</v>
      </c>
      <c r="S134" s="2">
        <v>9</v>
      </c>
      <c r="T134" s="2">
        <v>0.2</v>
      </c>
      <c r="U134" s="2">
        <v>6.9732000000000003</v>
      </c>
    </row>
    <row r="135" spans="1:21" ht="29.4" thickBot="1" x14ac:dyDescent="0.35">
      <c r="A135" s="5">
        <v>134</v>
      </c>
      <c r="B135" s="6" t="s">
        <v>563</v>
      </c>
      <c r="C135" s="7">
        <v>42656</v>
      </c>
      <c r="D135" s="7">
        <v>42662</v>
      </c>
      <c r="E135" s="6" t="s">
        <v>49</v>
      </c>
      <c r="F135" s="6" t="s">
        <v>564</v>
      </c>
      <c r="G135" s="6" t="s">
        <v>565</v>
      </c>
      <c r="H135" s="6" t="s">
        <v>25</v>
      </c>
      <c r="I135" s="6" t="s">
        <v>26</v>
      </c>
      <c r="J135" s="6" t="s">
        <v>566</v>
      </c>
      <c r="K135" s="6" t="s">
        <v>42</v>
      </c>
      <c r="L135" s="5">
        <v>95661</v>
      </c>
      <c r="M135" s="6" t="s">
        <v>43</v>
      </c>
      <c r="N135" s="6" t="s">
        <v>567</v>
      </c>
      <c r="O135" s="6" t="s">
        <v>45</v>
      </c>
      <c r="P135" s="6" t="s">
        <v>89</v>
      </c>
      <c r="Q135" s="6" t="s">
        <v>568</v>
      </c>
      <c r="R135" s="5">
        <v>20.04</v>
      </c>
      <c r="S135" s="5">
        <v>3</v>
      </c>
      <c r="T135" s="5">
        <v>0</v>
      </c>
      <c r="U135" s="5">
        <v>9.6191999999999993</v>
      </c>
    </row>
    <row r="136" spans="1:21" ht="29.4" thickBot="1" x14ac:dyDescent="0.35">
      <c r="A136" s="2">
        <v>135</v>
      </c>
      <c r="B136" s="3" t="s">
        <v>563</v>
      </c>
      <c r="C136" s="4">
        <v>42656</v>
      </c>
      <c r="D136" s="4">
        <v>42662</v>
      </c>
      <c r="E136" s="3" t="s">
        <v>49</v>
      </c>
      <c r="F136" s="3" t="s">
        <v>564</v>
      </c>
      <c r="G136" s="3" t="s">
        <v>565</v>
      </c>
      <c r="H136" s="3" t="s">
        <v>25</v>
      </c>
      <c r="I136" s="3" t="s">
        <v>26</v>
      </c>
      <c r="J136" s="3" t="s">
        <v>566</v>
      </c>
      <c r="K136" s="3" t="s">
        <v>42</v>
      </c>
      <c r="L136" s="2">
        <v>95661</v>
      </c>
      <c r="M136" s="3" t="s">
        <v>43</v>
      </c>
      <c r="N136" s="3" t="s">
        <v>569</v>
      </c>
      <c r="O136" s="3" t="s">
        <v>45</v>
      </c>
      <c r="P136" s="3" t="s">
        <v>89</v>
      </c>
      <c r="Q136" s="3" t="s">
        <v>570</v>
      </c>
      <c r="R136" s="2">
        <v>35.44</v>
      </c>
      <c r="S136" s="2">
        <v>1</v>
      </c>
      <c r="T136" s="2">
        <v>0</v>
      </c>
      <c r="U136" s="2">
        <v>16.6568</v>
      </c>
    </row>
    <row r="137" spans="1:21" ht="29.4" thickBot="1" x14ac:dyDescent="0.35">
      <c r="A137" s="5">
        <v>136</v>
      </c>
      <c r="B137" s="6" t="s">
        <v>563</v>
      </c>
      <c r="C137" s="7">
        <v>42656</v>
      </c>
      <c r="D137" s="7">
        <v>42662</v>
      </c>
      <c r="E137" s="6" t="s">
        <v>49</v>
      </c>
      <c r="F137" s="6" t="s">
        <v>564</v>
      </c>
      <c r="G137" s="6" t="s">
        <v>565</v>
      </c>
      <c r="H137" s="6" t="s">
        <v>25</v>
      </c>
      <c r="I137" s="6" t="s">
        <v>26</v>
      </c>
      <c r="J137" s="6" t="s">
        <v>566</v>
      </c>
      <c r="K137" s="6" t="s">
        <v>42</v>
      </c>
      <c r="L137" s="5">
        <v>95661</v>
      </c>
      <c r="M137" s="6" t="s">
        <v>43</v>
      </c>
      <c r="N137" s="6" t="s">
        <v>571</v>
      </c>
      <c r="O137" s="6" t="s">
        <v>45</v>
      </c>
      <c r="P137" s="6" t="s">
        <v>67</v>
      </c>
      <c r="Q137" s="6" t="s">
        <v>572</v>
      </c>
      <c r="R137" s="5">
        <v>11.52</v>
      </c>
      <c r="S137" s="5">
        <v>4</v>
      </c>
      <c r="T137" s="5">
        <v>0</v>
      </c>
      <c r="U137" s="5">
        <v>3.456</v>
      </c>
    </row>
    <row r="138" spans="1:21" ht="29.4" thickBot="1" x14ac:dyDescent="0.35">
      <c r="A138" s="2">
        <v>137</v>
      </c>
      <c r="B138" s="3" t="s">
        <v>563</v>
      </c>
      <c r="C138" s="4">
        <v>42656</v>
      </c>
      <c r="D138" s="4">
        <v>42662</v>
      </c>
      <c r="E138" s="3" t="s">
        <v>49</v>
      </c>
      <c r="F138" s="3" t="s">
        <v>564</v>
      </c>
      <c r="G138" s="3" t="s">
        <v>565</v>
      </c>
      <c r="H138" s="3" t="s">
        <v>25</v>
      </c>
      <c r="I138" s="3" t="s">
        <v>26</v>
      </c>
      <c r="J138" s="3" t="s">
        <v>566</v>
      </c>
      <c r="K138" s="3" t="s">
        <v>42</v>
      </c>
      <c r="L138" s="2">
        <v>95661</v>
      </c>
      <c r="M138" s="3" t="s">
        <v>43</v>
      </c>
      <c r="N138" s="3" t="s">
        <v>573</v>
      </c>
      <c r="O138" s="3" t="s">
        <v>45</v>
      </c>
      <c r="P138" s="3" t="s">
        <v>268</v>
      </c>
      <c r="Q138" s="3" t="s">
        <v>574</v>
      </c>
      <c r="R138" s="2">
        <v>4.0199999999999996</v>
      </c>
      <c r="S138" s="2">
        <v>2</v>
      </c>
      <c r="T138" s="2">
        <v>0</v>
      </c>
      <c r="U138" s="2">
        <v>1.9698</v>
      </c>
    </row>
    <row r="139" spans="1:21" ht="29.4" thickBot="1" x14ac:dyDescent="0.35">
      <c r="A139" s="5">
        <v>138</v>
      </c>
      <c r="B139" s="6" t="s">
        <v>563</v>
      </c>
      <c r="C139" s="7">
        <v>42656</v>
      </c>
      <c r="D139" s="7">
        <v>42662</v>
      </c>
      <c r="E139" s="6" t="s">
        <v>49</v>
      </c>
      <c r="F139" s="6" t="s">
        <v>564</v>
      </c>
      <c r="G139" s="6" t="s">
        <v>565</v>
      </c>
      <c r="H139" s="6" t="s">
        <v>25</v>
      </c>
      <c r="I139" s="6" t="s">
        <v>26</v>
      </c>
      <c r="J139" s="6" t="s">
        <v>566</v>
      </c>
      <c r="K139" s="6" t="s">
        <v>42</v>
      </c>
      <c r="L139" s="5">
        <v>95661</v>
      </c>
      <c r="M139" s="6" t="s">
        <v>43</v>
      </c>
      <c r="N139" s="6" t="s">
        <v>575</v>
      </c>
      <c r="O139" s="6" t="s">
        <v>45</v>
      </c>
      <c r="P139" s="6" t="s">
        <v>74</v>
      </c>
      <c r="Q139" s="6" t="s">
        <v>576</v>
      </c>
      <c r="R139" s="5">
        <v>76.176000000000002</v>
      </c>
      <c r="S139" s="5">
        <v>3</v>
      </c>
      <c r="T139" s="5">
        <v>0.2</v>
      </c>
      <c r="U139" s="5">
        <v>26.6616</v>
      </c>
    </row>
    <row r="140" spans="1:21" ht="29.4" thickBot="1" x14ac:dyDescent="0.35">
      <c r="A140" s="2">
        <v>139</v>
      </c>
      <c r="B140" s="3" t="s">
        <v>563</v>
      </c>
      <c r="C140" s="4">
        <v>42656</v>
      </c>
      <c r="D140" s="4">
        <v>42662</v>
      </c>
      <c r="E140" s="3" t="s">
        <v>49</v>
      </c>
      <c r="F140" s="3" t="s">
        <v>564</v>
      </c>
      <c r="G140" s="3" t="s">
        <v>565</v>
      </c>
      <c r="H140" s="3" t="s">
        <v>25</v>
      </c>
      <c r="I140" s="3" t="s">
        <v>26</v>
      </c>
      <c r="J140" s="3" t="s">
        <v>566</v>
      </c>
      <c r="K140" s="3" t="s">
        <v>42</v>
      </c>
      <c r="L140" s="2">
        <v>95661</v>
      </c>
      <c r="M140" s="3" t="s">
        <v>43</v>
      </c>
      <c r="N140" s="3" t="s">
        <v>577</v>
      </c>
      <c r="O140" s="3" t="s">
        <v>45</v>
      </c>
      <c r="P140" s="3" t="s">
        <v>578</v>
      </c>
      <c r="Q140" s="3" t="s">
        <v>579</v>
      </c>
      <c r="R140" s="2">
        <v>65.88</v>
      </c>
      <c r="S140" s="2">
        <v>6</v>
      </c>
      <c r="T140" s="2">
        <v>0</v>
      </c>
      <c r="U140" s="2">
        <v>18.446400000000001</v>
      </c>
    </row>
    <row r="141" spans="1:21" ht="29.4" thickBot="1" x14ac:dyDescent="0.35">
      <c r="A141" s="5">
        <v>140</v>
      </c>
      <c r="B141" s="6" t="s">
        <v>563</v>
      </c>
      <c r="C141" s="7">
        <v>42656</v>
      </c>
      <c r="D141" s="7">
        <v>42662</v>
      </c>
      <c r="E141" s="6" t="s">
        <v>49</v>
      </c>
      <c r="F141" s="6" t="s">
        <v>564</v>
      </c>
      <c r="G141" s="6" t="s">
        <v>565</v>
      </c>
      <c r="H141" s="6" t="s">
        <v>25</v>
      </c>
      <c r="I141" s="6" t="s">
        <v>26</v>
      </c>
      <c r="J141" s="6" t="s">
        <v>566</v>
      </c>
      <c r="K141" s="6" t="s">
        <v>42</v>
      </c>
      <c r="L141" s="5">
        <v>95661</v>
      </c>
      <c r="M141" s="6" t="s">
        <v>43</v>
      </c>
      <c r="N141" s="6" t="s">
        <v>258</v>
      </c>
      <c r="O141" s="6" t="s">
        <v>31</v>
      </c>
      <c r="P141" s="6" t="s">
        <v>64</v>
      </c>
      <c r="Q141" s="6" t="s">
        <v>259</v>
      </c>
      <c r="R141" s="5">
        <v>43.12</v>
      </c>
      <c r="S141" s="5">
        <v>14</v>
      </c>
      <c r="T141" s="5">
        <v>0</v>
      </c>
      <c r="U141" s="5">
        <v>20.697600000000001</v>
      </c>
    </row>
    <row r="142" spans="1:21" ht="29.4" thickBot="1" x14ac:dyDescent="0.35">
      <c r="A142" s="2">
        <v>141</v>
      </c>
      <c r="B142" s="3" t="s">
        <v>580</v>
      </c>
      <c r="C142" s="4">
        <v>42618</v>
      </c>
      <c r="D142" s="4">
        <v>42620</v>
      </c>
      <c r="E142" s="3" t="s">
        <v>22</v>
      </c>
      <c r="F142" s="3" t="s">
        <v>581</v>
      </c>
      <c r="G142" s="3" t="s">
        <v>582</v>
      </c>
      <c r="H142" s="3" t="s">
        <v>40</v>
      </c>
      <c r="I142" s="3" t="s">
        <v>26</v>
      </c>
      <c r="J142" s="3" t="s">
        <v>145</v>
      </c>
      <c r="K142" s="3" t="s">
        <v>146</v>
      </c>
      <c r="L142" s="2">
        <v>19140</v>
      </c>
      <c r="M142" s="3" t="s">
        <v>147</v>
      </c>
      <c r="N142" s="3" t="s">
        <v>169</v>
      </c>
      <c r="O142" s="3" t="s">
        <v>31</v>
      </c>
      <c r="P142" s="3" t="s">
        <v>64</v>
      </c>
      <c r="Q142" s="3" t="s">
        <v>170</v>
      </c>
      <c r="R142" s="2">
        <v>82.8</v>
      </c>
      <c r="S142" s="2">
        <v>2</v>
      </c>
      <c r="T142" s="2">
        <v>0.2</v>
      </c>
      <c r="U142" s="2">
        <v>10.35</v>
      </c>
    </row>
    <row r="143" spans="1:21" ht="29.4" thickBot="1" x14ac:dyDescent="0.35">
      <c r="A143" s="5">
        <v>142</v>
      </c>
      <c r="B143" s="6" t="s">
        <v>583</v>
      </c>
      <c r="C143" s="7">
        <v>42996</v>
      </c>
      <c r="D143" s="7">
        <v>43001</v>
      </c>
      <c r="E143" s="6" t="s">
        <v>49</v>
      </c>
      <c r="F143" s="6" t="s">
        <v>584</v>
      </c>
      <c r="G143" s="6" t="s">
        <v>585</v>
      </c>
      <c r="H143" s="6" t="s">
        <v>40</v>
      </c>
      <c r="I143" s="6" t="s">
        <v>26</v>
      </c>
      <c r="J143" s="6" t="s">
        <v>126</v>
      </c>
      <c r="K143" s="6" t="s">
        <v>42</v>
      </c>
      <c r="L143" s="5">
        <v>94122</v>
      </c>
      <c r="M143" s="6" t="s">
        <v>43</v>
      </c>
      <c r="N143" s="6" t="s">
        <v>586</v>
      </c>
      <c r="O143" s="6" t="s">
        <v>45</v>
      </c>
      <c r="P143" s="6" t="s">
        <v>67</v>
      </c>
      <c r="Q143" s="6" t="s">
        <v>587</v>
      </c>
      <c r="R143" s="5">
        <v>8.82</v>
      </c>
      <c r="S143" s="5">
        <v>3</v>
      </c>
      <c r="T143" s="5">
        <v>0</v>
      </c>
      <c r="U143" s="5">
        <v>2.3814000000000002</v>
      </c>
    </row>
    <row r="144" spans="1:21" ht="29.4" thickBot="1" x14ac:dyDescent="0.35">
      <c r="A144" s="2">
        <v>143</v>
      </c>
      <c r="B144" s="3" t="s">
        <v>583</v>
      </c>
      <c r="C144" s="4">
        <v>42996</v>
      </c>
      <c r="D144" s="4">
        <v>43001</v>
      </c>
      <c r="E144" s="3" t="s">
        <v>49</v>
      </c>
      <c r="F144" s="3" t="s">
        <v>584</v>
      </c>
      <c r="G144" s="3" t="s">
        <v>585</v>
      </c>
      <c r="H144" s="3" t="s">
        <v>40</v>
      </c>
      <c r="I144" s="3" t="s">
        <v>26</v>
      </c>
      <c r="J144" s="3" t="s">
        <v>126</v>
      </c>
      <c r="K144" s="3" t="s">
        <v>42</v>
      </c>
      <c r="L144" s="2">
        <v>94122</v>
      </c>
      <c r="M144" s="3" t="s">
        <v>43</v>
      </c>
      <c r="N144" s="3" t="s">
        <v>588</v>
      </c>
      <c r="O144" s="3" t="s">
        <v>45</v>
      </c>
      <c r="P144" s="3" t="s">
        <v>172</v>
      </c>
      <c r="Q144" s="3" t="s">
        <v>589</v>
      </c>
      <c r="R144" s="2">
        <v>10.86</v>
      </c>
      <c r="S144" s="2">
        <v>3</v>
      </c>
      <c r="T144" s="2">
        <v>0</v>
      </c>
      <c r="U144" s="2">
        <v>5.1041999999999996</v>
      </c>
    </row>
    <row r="145" spans="1:21" ht="29.4" thickBot="1" x14ac:dyDescent="0.35">
      <c r="A145" s="5">
        <v>144</v>
      </c>
      <c r="B145" s="6" t="s">
        <v>583</v>
      </c>
      <c r="C145" s="7">
        <v>42996</v>
      </c>
      <c r="D145" s="7">
        <v>43001</v>
      </c>
      <c r="E145" s="6" t="s">
        <v>49</v>
      </c>
      <c r="F145" s="6" t="s">
        <v>584</v>
      </c>
      <c r="G145" s="6" t="s">
        <v>585</v>
      </c>
      <c r="H145" s="6" t="s">
        <v>40</v>
      </c>
      <c r="I145" s="6" t="s">
        <v>26</v>
      </c>
      <c r="J145" s="6" t="s">
        <v>126</v>
      </c>
      <c r="K145" s="6" t="s">
        <v>42</v>
      </c>
      <c r="L145" s="5">
        <v>94122</v>
      </c>
      <c r="M145" s="6" t="s">
        <v>43</v>
      </c>
      <c r="N145" s="6" t="s">
        <v>590</v>
      </c>
      <c r="O145" s="6" t="s">
        <v>45</v>
      </c>
      <c r="P145" s="6" t="s">
        <v>89</v>
      </c>
      <c r="Q145" s="6" t="s">
        <v>591</v>
      </c>
      <c r="R145" s="5">
        <v>143.69999999999999</v>
      </c>
      <c r="S145" s="5">
        <v>3</v>
      </c>
      <c r="T145" s="5">
        <v>0</v>
      </c>
      <c r="U145" s="5">
        <v>68.975999999999999</v>
      </c>
    </row>
    <row r="146" spans="1:21" ht="29.4" thickBot="1" x14ac:dyDescent="0.35">
      <c r="A146" s="2">
        <v>145</v>
      </c>
      <c r="B146" s="3" t="s">
        <v>592</v>
      </c>
      <c r="C146" s="4">
        <v>43091</v>
      </c>
      <c r="D146" s="4">
        <v>43096</v>
      </c>
      <c r="E146" s="3" t="s">
        <v>49</v>
      </c>
      <c r="F146" s="3" t="s">
        <v>593</v>
      </c>
      <c r="G146" s="3" t="s">
        <v>594</v>
      </c>
      <c r="H146" s="3" t="s">
        <v>25</v>
      </c>
      <c r="I146" s="3" t="s">
        <v>26</v>
      </c>
      <c r="J146" s="3" t="s">
        <v>595</v>
      </c>
      <c r="K146" s="3" t="s">
        <v>596</v>
      </c>
      <c r="L146" s="2">
        <v>64055</v>
      </c>
      <c r="M146" s="3" t="s">
        <v>104</v>
      </c>
      <c r="N146" s="3" t="s">
        <v>597</v>
      </c>
      <c r="O146" s="3" t="s">
        <v>45</v>
      </c>
      <c r="P146" s="3" t="s">
        <v>77</v>
      </c>
      <c r="Q146" s="3" t="s">
        <v>598</v>
      </c>
      <c r="R146" s="2">
        <v>839.43</v>
      </c>
      <c r="S146" s="2">
        <v>3</v>
      </c>
      <c r="T146" s="2">
        <v>0</v>
      </c>
      <c r="U146" s="2">
        <v>218.2518</v>
      </c>
    </row>
    <row r="147" spans="1:21" ht="29.4" thickBot="1" x14ac:dyDescent="0.35">
      <c r="A147" s="5">
        <v>146</v>
      </c>
      <c r="B147" s="6" t="s">
        <v>599</v>
      </c>
      <c r="C147" s="7">
        <v>42254</v>
      </c>
      <c r="D147" s="7">
        <v>42259</v>
      </c>
      <c r="E147" s="6" t="s">
        <v>49</v>
      </c>
      <c r="F147" s="6" t="s">
        <v>600</v>
      </c>
      <c r="G147" s="6" t="s">
        <v>601</v>
      </c>
      <c r="H147" s="6" t="s">
        <v>25</v>
      </c>
      <c r="I147" s="6" t="s">
        <v>26</v>
      </c>
      <c r="J147" s="6" t="s">
        <v>602</v>
      </c>
      <c r="K147" s="6" t="s">
        <v>42</v>
      </c>
      <c r="L147" s="5">
        <v>91104</v>
      </c>
      <c r="M147" s="6" t="s">
        <v>43</v>
      </c>
      <c r="N147" s="6" t="s">
        <v>378</v>
      </c>
      <c r="O147" s="6" t="s">
        <v>45</v>
      </c>
      <c r="P147" s="6" t="s">
        <v>58</v>
      </c>
      <c r="Q147" s="6" t="s">
        <v>379</v>
      </c>
      <c r="R147" s="5">
        <v>671.93</v>
      </c>
      <c r="S147" s="5">
        <v>7</v>
      </c>
      <c r="T147" s="5">
        <v>0</v>
      </c>
      <c r="U147" s="5">
        <v>20.157900000000001</v>
      </c>
    </row>
    <row r="148" spans="1:21" ht="29.4" thickBot="1" x14ac:dyDescent="0.35">
      <c r="A148" s="2">
        <v>147</v>
      </c>
      <c r="B148" s="3" t="s">
        <v>603</v>
      </c>
      <c r="C148" s="4">
        <v>41934</v>
      </c>
      <c r="D148" s="4">
        <v>41940</v>
      </c>
      <c r="E148" s="3" t="s">
        <v>49</v>
      </c>
      <c r="F148" s="3" t="s">
        <v>604</v>
      </c>
      <c r="G148" s="3" t="s">
        <v>605</v>
      </c>
      <c r="H148" s="3" t="s">
        <v>101</v>
      </c>
      <c r="I148" s="3" t="s">
        <v>26</v>
      </c>
      <c r="J148" s="3" t="s">
        <v>606</v>
      </c>
      <c r="K148" s="3" t="s">
        <v>497</v>
      </c>
      <c r="L148" s="2">
        <v>43055</v>
      </c>
      <c r="M148" s="3" t="s">
        <v>147</v>
      </c>
      <c r="N148" s="3" t="s">
        <v>607</v>
      </c>
      <c r="O148" s="3" t="s">
        <v>31</v>
      </c>
      <c r="P148" s="3" t="s">
        <v>64</v>
      </c>
      <c r="Q148" s="3" t="s">
        <v>608</v>
      </c>
      <c r="R148" s="2">
        <v>93.888000000000005</v>
      </c>
      <c r="S148" s="2">
        <v>4</v>
      </c>
      <c r="T148" s="2">
        <v>0.2</v>
      </c>
      <c r="U148" s="2">
        <v>12.909599999999999</v>
      </c>
    </row>
    <row r="149" spans="1:21" ht="29.4" thickBot="1" x14ac:dyDescent="0.35">
      <c r="A149" s="5">
        <v>148</v>
      </c>
      <c r="B149" s="6" t="s">
        <v>609</v>
      </c>
      <c r="C149" s="7">
        <v>42709</v>
      </c>
      <c r="D149" s="7">
        <v>42713</v>
      </c>
      <c r="E149" s="6" t="s">
        <v>49</v>
      </c>
      <c r="F149" s="6" t="s">
        <v>610</v>
      </c>
      <c r="G149" s="6" t="s">
        <v>611</v>
      </c>
      <c r="H149" s="6" t="s">
        <v>40</v>
      </c>
      <c r="I149" s="6" t="s">
        <v>26</v>
      </c>
      <c r="J149" s="6" t="s">
        <v>612</v>
      </c>
      <c r="K149" s="6" t="s">
        <v>113</v>
      </c>
      <c r="L149" s="5">
        <v>53132</v>
      </c>
      <c r="M149" s="6" t="s">
        <v>104</v>
      </c>
      <c r="N149" s="6" t="s">
        <v>613</v>
      </c>
      <c r="O149" s="6" t="s">
        <v>70</v>
      </c>
      <c r="P149" s="6" t="s">
        <v>71</v>
      </c>
      <c r="Q149" s="6" t="s">
        <v>614</v>
      </c>
      <c r="R149" s="5">
        <v>384.45</v>
      </c>
      <c r="S149" s="5">
        <v>11</v>
      </c>
      <c r="T149" s="5">
        <v>0</v>
      </c>
      <c r="U149" s="5">
        <v>103.8015</v>
      </c>
    </row>
    <row r="150" spans="1:21" ht="29.4" thickBot="1" x14ac:dyDescent="0.35">
      <c r="A150" s="2">
        <v>149</v>
      </c>
      <c r="B150" s="3" t="s">
        <v>609</v>
      </c>
      <c r="C150" s="4">
        <v>42709</v>
      </c>
      <c r="D150" s="4">
        <v>42713</v>
      </c>
      <c r="E150" s="3" t="s">
        <v>49</v>
      </c>
      <c r="F150" s="3" t="s">
        <v>610</v>
      </c>
      <c r="G150" s="3" t="s">
        <v>611</v>
      </c>
      <c r="H150" s="3" t="s">
        <v>40</v>
      </c>
      <c r="I150" s="3" t="s">
        <v>26</v>
      </c>
      <c r="J150" s="3" t="s">
        <v>612</v>
      </c>
      <c r="K150" s="3" t="s">
        <v>113</v>
      </c>
      <c r="L150" s="2">
        <v>53132</v>
      </c>
      <c r="M150" s="3" t="s">
        <v>104</v>
      </c>
      <c r="N150" s="3" t="s">
        <v>615</v>
      </c>
      <c r="O150" s="3" t="s">
        <v>70</v>
      </c>
      <c r="P150" s="3" t="s">
        <v>71</v>
      </c>
      <c r="Q150" s="3" t="s">
        <v>616</v>
      </c>
      <c r="R150" s="2">
        <v>149.97</v>
      </c>
      <c r="S150" s="2">
        <v>3</v>
      </c>
      <c r="T150" s="2">
        <v>0</v>
      </c>
      <c r="U150" s="2">
        <v>5.9988000000000001</v>
      </c>
    </row>
    <row r="151" spans="1:21" ht="29.4" thickBot="1" x14ac:dyDescent="0.35">
      <c r="A151" s="5">
        <v>150</v>
      </c>
      <c r="B151" s="6" t="s">
        <v>609</v>
      </c>
      <c r="C151" s="7">
        <v>42709</v>
      </c>
      <c r="D151" s="7">
        <v>42713</v>
      </c>
      <c r="E151" s="6" t="s">
        <v>49</v>
      </c>
      <c r="F151" s="6" t="s">
        <v>610</v>
      </c>
      <c r="G151" s="6" t="s">
        <v>611</v>
      </c>
      <c r="H151" s="6" t="s">
        <v>40</v>
      </c>
      <c r="I151" s="6" t="s">
        <v>26</v>
      </c>
      <c r="J151" s="6" t="s">
        <v>612</v>
      </c>
      <c r="K151" s="6" t="s">
        <v>113</v>
      </c>
      <c r="L151" s="5">
        <v>53132</v>
      </c>
      <c r="M151" s="6" t="s">
        <v>104</v>
      </c>
      <c r="N151" s="6" t="s">
        <v>34</v>
      </c>
      <c r="O151" s="6" t="s">
        <v>31</v>
      </c>
      <c r="P151" s="6" t="s">
        <v>35</v>
      </c>
      <c r="Q151" s="6" t="s">
        <v>36</v>
      </c>
      <c r="R151" s="5">
        <v>1951.84</v>
      </c>
      <c r="S151" s="5">
        <v>8</v>
      </c>
      <c r="T151" s="5">
        <v>0</v>
      </c>
      <c r="U151" s="5">
        <v>585.55200000000002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Analyze</vt:lpstr>
      <vt:lpstr>Dashboard</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h</cp:lastModifiedBy>
  <dcterms:created xsi:type="dcterms:W3CDTF">2025-01-24T08:18:20Z</dcterms:created>
  <dcterms:modified xsi:type="dcterms:W3CDTF">2025-01-27T11:02:20Z</dcterms:modified>
</cp:coreProperties>
</file>